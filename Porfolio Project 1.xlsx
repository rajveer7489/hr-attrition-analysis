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wnloads\archive\"/>
    </mc:Choice>
  </mc:AlternateContent>
  <bookViews>
    <workbookView xWindow="0" yWindow="0" windowWidth="20490" windowHeight="7635" tabRatio="500" activeTab="3"/>
  </bookViews>
  <sheets>
    <sheet name="Sales Data" sheetId="1" r:id="rId1"/>
    <sheet name="Employee Data" sheetId="2" r:id="rId2"/>
    <sheet name="Summary" sheetId="3" r:id="rId3"/>
    <sheet name="Sales data cleaning" sheetId="4" r:id="rId4"/>
    <sheet name="Dashboard" sheetId="10" r:id="rId5"/>
    <sheet name="Employee data cleaning" sheetId="5" r:id="rId6"/>
    <sheet name="KPIs" sheetId="6" r:id="rId7"/>
    <sheet name="Vlookup Table" sheetId="7" r:id="rId8"/>
    <sheet name="Pivot Tables" sheetId="8" r:id="rId9"/>
  </sheets>
  <definedNames>
    <definedName name="_xlnm._FilterDatabase" localSheetId="5" hidden="1">'Employee data cleaning'!$A$1:$I$31</definedName>
    <definedName name="Slicer_Category">#N/A</definedName>
    <definedName name="Slicer_MONTH">#N/A</definedName>
    <definedName name="Slicer_Region">#N/A</definedName>
    <definedName name="Slicer_YEAR">#N/A</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S5" i="8" l="1"/>
  <c r="S6" i="8"/>
  <c r="S7" i="8"/>
  <c r="S8" i="8"/>
  <c r="S9" i="8"/>
  <c r="S10" i="8"/>
  <c r="S11" i="8"/>
  <c r="S4" i="8"/>
  <c r="K5" i="8"/>
  <c r="K6" i="8"/>
  <c r="K4" i="8"/>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M2" i="4"/>
  <c r="L2" i="4"/>
  <c r="K2" i="4"/>
  <c r="B7" i="7"/>
  <c r="B6" i="7"/>
  <c r="B5" i="7"/>
  <c r="B4" i="7"/>
  <c r="B3" i="7"/>
  <c r="B2" i="7"/>
  <c r="I3" i="5"/>
  <c r="B12" i="6" s="1"/>
  <c r="I4" i="5"/>
  <c r="I5" i="5"/>
  <c r="I6" i="5"/>
  <c r="I7" i="5"/>
  <c r="I8" i="5"/>
  <c r="I9" i="5"/>
  <c r="I10" i="5"/>
  <c r="I11" i="5"/>
  <c r="I12" i="5"/>
  <c r="I13" i="5"/>
  <c r="I14" i="5"/>
  <c r="I15" i="5"/>
  <c r="I16" i="5"/>
  <c r="I17" i="5"/>
  <c r="I18" i="5"/>
  <c r="I19" i="5"/>
  <c r="I20" i="5"/>
  <c r="I21" i="5"/>
  <c r="I22" i="5"/>
  <c r="I23" i="5"/>
  <c r="I24" i="5"/>
  <c r="I25" i="5"/>
  <c r="I26" i="5"/>
  <c r="I27" i="5"/>
  <c r="I28" i="5"/>
  <c r="I29" i="5"/>
  <c r="I30" i="5"/>
  <c r="I31" i="5"/>
  <c r="I2" i="5"/>
  <c r="B8" i="6"/>
  <c r="B7" i="6"/>
  <c r="B6" i="6"/>
  <c r="B5" i="6"/>
  <c r="B4" i="6"/>
  <c r="B2" i="6"/>
  <c r="B1" i="6"/>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2" i="5"/>
  <c r="B10" i="6" s="1"/>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2" i="4"/>
  <c r="B7" i="3"/>
  <c r="B6" i="3"/>
  <c r="B5" i="3"/>
  <c r="B4" i="3"/>
  <c r="B3" i="3"/>
  <c r="B11" i="6" l="1"/>
  <c r="B9" i="6"/>
</calcChain>
</file>

<file path=xl/sharedStrings.xml><?xml version="1.0" encoding="utf-8"?>
<sst xmlns="http://schemas.openxmlformats.org/spreadsheetml/2006/main" count="997" uniqueCount="260">
  <si>
    <t>Order ID</t>
  </si>
  <si>
    <t>Customer Name</t>
  </si>
  <si>
    <t>Product</t>
  </si>
  <si>
    <t>Category</t>
  </si>
  <si>
    <t>Quantity</t>
  </si>
  <si>
    <t>Unit Price</t>
  </si>
  <si>
    <t>Sale Date</t>
  </si>
  <si>
    <t>Region</t>
  </si>
  <si>
    <t>Sales Amount</t>
  </si>
  <si>
    <t>ORD1001</t>
  </si>
  <si>
    <t>Data Systems</t>
  </si>
  <si>
    <t>Laptop</t>
  </si>
  <si>
    <t>Peripherals</t>
  </si>
  <si>
    <t>03/05/2024</t>
  </si>
  <si>
    <t>North</t>
  </si>
  <si>
    <t>ORD1002</t>
  </si>
  <si>
    <t>Digital Solutions</t>
  </si>
  <si>
    <t>USB Cable</t>
  </si>
  <si>
    <t>02/16/2024</t>
  </si>
  <si>
    <t>West</t>
  </si>
  <si>
    <t>ORD1003</t>
  </si>
  <si>
    <t>Cloud Nine</t>
  </si>
  <si>
    <t>Keyboard</t>
  </si>
  <si>
    <t>03/17/2024</t>
  </si>
  <si>
    <t>South</t>
  </si>
  <si>
    <t>ORD1004</t>
  </si>
  <si>
    <t>Monitor</t>
  </si>
  <si>
    <t>Accessories</t>
  </si>
  <si>
    <t>01/01/2024</t>
  </si>
  <si>
    <t>East</t>
  </si>
  <si>
    <t>ORD1005</t>
  </si>
  <si>
    <t>Webcam</t>
  </si>
  <si>
    <t>02/13/2024</t>
  </si>
  <si>
    <t>ORD1006</t>
  </si>
  <si>
    <t>Global Industries</t>
  </si>
  <si>
    <t>Desk Lamp</t>
  </si>
  <si>
    <t>03/30/2024</t>
  </si>
  <si>
    <t>ORD1007</t>
  </si>
  <si>
    <t>Smart Tech</t>
  </si>
  <si>
    <t>03/04/2024</t>
  </si>
  <si>
    <t>ORD1008</t>
  </si>
  <si>
    <t>01/23/2024</t>
  </si>
  <si>
    <t>ORD1009</t>
  </si>
  <si>
    <t>Electronics</t>
  </si>
  <si>
    <t>02/20/2024</t>
  </si>
  <si>
    <t>ORD1010</t>
  </si>
  <si>
    <t>02/01/2024</t>
  </si>
  <si>
    <t>ORD1011</t>
  </si>
  <si>
    <t>Acme Corp</t>
  </si>
  <si>
    <t>03/19/2024</t>
  </si>
  <si>
    <t>ORD1012</t>
  </si>
  <si>
    <t>ORD1013</t>
  </si>
  <si>
    <t>01/18/2024</t>
  </si>
  <si>
    <t>ORD1014</t>
  </si>
  <si>
    <t>02/12/2024</t>
  </si>
  <si>
    <t>ORD1015</t>
  </si>
  <si>
    <t>01/15/2024</t>
  </si>
  <si>
    <t>ORD1016</t>
  </si>
  <si>
    <t>Headphones</t>
  </si>
  <si>
    <t>03/10/2024</t>
  </si>
  <si>
    <t>ORD1017</t>
  </si>
  <si>
    <t>02/14/2024</t>
  </si>
  <si>
    <t>ORD1018</t>
  </si>
  <si>
    <t>02/22/2024</t>
  </si>
  <si>
    <t>ORD1019</t>
  </si>
  <si>
    <t>01/14/2024</t>
  </si>
  <si>
    <t>ORD1020</t>
  </si>
  <si>
    <t>01/31/2024</t>
  </si>
  <si>
    <t>ORD1021</t>
  </si>
  <si>
    <t>Mouse</t>
  </si>
  <si>
    <t>02/11/2024</t>
  </si>
  <si>
    <t>ORD1022</t>
  </si>
  <si>
    <t>01/08/2024</t>
  </si>
  <si>
    <t>ORD1023</t>
  </si>
  <si>
    <t>01/06/2024</t>
  </si>
  <si>
    <t>ORD1024</t>
  </si>
  <si>
    <t>03/02/2024</t>
  </si>
  <si>
    <t>ORD1025</t>
  </si>
  <si>
    <t>02/03/2024</t>
  </si>
  <si>
    <t>ORD1026</t>
  </si>
  <si>
    <t>02/10/2024</t>
  </si>
  <si>
    <t>ORD1027</t>
  </si>
  <si>
    <t>TechStart</t>
  </si>
  <si>
    <t>03/27/2024</t>
  </si>
  <si>
    <t>ORD1028</t>
  </si>
  <si>
    <t>01/10/2024</t>
  </si>
  <si>
    <t>ORD1029</t>
  </si>
  <si>
    <t>03/23/2024</t>
  </si>
  <si>
    <t>ORD1030</t>
  </si>
  <si>
    <t>01/27/2024</t>
  </si>
  <si>
    <t>ORD1031</t>
  </si>
  <si>
    <t>03/16/2024</t>
  </si>
  <si>
    <t>ORD1032</t>
  </si>
  <si>
    <t>ORD1033</t>
  </si>
  <si>
    <t>01/20/2024</t>
  </si>
  <si>
    <t>ORD1034</t>
  </si>
  <si>
    <t>02/17/2024</t>
  </si>
  <si>
    <t>ORD1035</t>
  </si>
  <si>
    <t>01/19/2024</t>
  </si>
  <si>
    <t>ORD1036</t>
  </si>
  <si>
    <t>01/25/2024</t>
  </si>
  <si>
    <t>ORD1037</t>
  </si>
  <si>
    <t>ORD1038</t>
  </si>
  <si>
    <t>03/01/2024</t>
  </si>
  <si>
    <t>ORD1039</t>
  </si>
  <si>
    <t>02/18/2024</t>
  </si>
  <si>
    <t>ORD1040</t>
  </si>
  <si>
    <t>ORD1041</t>
  </si>
  <si>
    <t>ORD1042</t>
  </si>
  <si>
    <t>ORD1043</t>
  </si>
  <si>
    <t>03/15/2024</t>
  </si>
  <si>
    <t>ORD1044</t>
  </si>
  <si>
    <t>01/03/2024</t>
  </si>
  <si>
    <t>ORD1045</t>
  </si>
  <si>
    <t>01/11/2024</t>
  </si>
  <si>
    <t>ORD1046</t>
  </si>
  <si>
    <t>03/06/2024</t>
  </si>
  <si>
    <t>ORD1047</t>
  </si>
  <si>
    <t>ORD1048</t>
  </si>
  <si>
    <t>03/13/2024</t>
  </si>
  <si>
    <t>ORD1049</t>
  </si>
  <si>
    <t>ORD1050</t>
  </si>
  <si>
    <t>Employee ID</t>
  </si>
  <si>
    <t>Name</t>
  </si>
  <si>
    <t>Department</t>
  </si>
  <si>
    <t>Job Title</t>
  </si>
  <si>
    <t>Hire Date</t>
  </si>
  <si>
    <t>Salary</t>
  </si>
  <si>
    <t>Years in Company</t>
  </si>
  <si>
    <t>EMP5001</t>
  </si>
  <si>
    <t>Marketing</t>
  </si>
  <si>
    <t>Manager</t>
  </si>
  <si>
    <t>08/15/2015</t>
  </si>
  <si>
    <t>EMP5002</t>
  </si>
  <si>
    <t>HR</t>
  </si>
  <si>
    <t>Developer</t>
  </si>
  <si>
    <t>12/09/2022</t>
  </si>
  <si>
    <t>EMP5003</t>
  </si>
  <si>
    <t>Finance</t>
  </si>
  <si>
    <t>Analyst</t>
  </si>
  <si>
    <t>06/16/2019</t>
  </si>
  <si>
    <t>EMP5004</t>
  </si>
  <si>
    <t>IT</t>
  </si>
  <si>
    <t>04/23/2015</t>
  </si>
  <si>
    <t>EMP5005</t>
  </si>
  <si>
    <t>07/23/2015</t>
  </si>
  <si>
    <t>EMP5006</t>
  </si>
  <si>
    <t>08/13/2019</t>
  </si>
  <si>
    <t>EMP5007</t>
  </si>
  <si>
    <t>01/07/2021</t>
  </si>
  <si>
    <t>EMP5008</t>
  </si>
  <si>
    <t>06/14/2018</t>
  </si>
  <si>
    <t>EMP5009</t>
  </si>
  <si>
    <t>Operations</t>
  </si>
  <si>
    <t>Director</t>
  </si>
  <si>
    <t>02/22/2020</t>
  </si>
  <si>
    <t>EMP5010</t>
  </si>
  <si>
    <t>Sales</t>
  </si>
  <si>
    <t>04/23/2020</t>
  </si>
  <si>
    <t>EMP5011</t>
  </si>
  <si>
    <t>Coordinator</t>
  </si>
  <si>
    <t>11/21/2018</t>
  </si>
  <si>
    <t>EMP5012</t>
  </si>
  <si>
    <t>06/05/2021</t>
  </si>
  <si>
    <t>EMP5013</t>
  </si>
  <si>
    <t>Specialist</t>
  </si>
  <si>
    <t>04/18/2023</t>
  </si>
  <si>
    <t>EMP5014</t>
  </si>
  <si>
    <t>01/12/2024</t>
  </si>
  <si>
    <t>EMP5015</t>
  </si>
  <si>
    <t>10/11/2024</t>
  </si>
  <si>
    <t>EMP5016</t>
  </si>
  <si>
    <t>06/04/2017</t>
  </si>
  <si>
    <t>EMP5017</t>
  </si>
  <si>
    <t>06/02/2019</t>
  </si>
  <si>
    <t>EMP5018</t>
  </si>
  <si>
    <t>06/13/2019</t>
  </si>
  <si>
    <t>EMP5019</t>
  </si>
  <si>
    <t>03/12/2024</t>
  </si>
  <si>
    <t>EMP5020</t>
  </si>
  <si>
    <t>01/14/2015</t>
  </si>
  <si>
    <t>EMP5021</t>
  </si>
  <si>
    <t>08/24/2018</t>
  </si>
  <si>
    <t>EMP5022</t>
  </si>
  <si>
    <t>01/17/2023</t>
  </si>
  <si>
    <t>EMP5023</t>
  </si>
  <si>
    <t>12/15/2015</t>
  </si>
  <si>
    <t>EMP5024</t>
  </si>
  <si>
    <t>09/08/2022</t>
  </si>
  <si>
    <t>EMP5025</t>
  </si>
  <si>
    <t>01/20/2016</t>
  </si>
  <si>
    <t>EMP5026</t>
  </si>
  <si>
    <t>03/13/2015</t>
  </si>
  <si>
    <t>EMP5027</t>
  </si>
  <si>
    <t>09/06/2020</t>
  </si>
  <si>
    <t>EMP5028</t>
  </si>
  <si>
    <t>09/28/2019</t>
  </si>
  <si>
    <t>EMP5029</t>
  </si>
  <si>
    <t>03/04/2018</t>
  </si>
  <si>
    <t>EMP5030</t>
  </si>
  <si>
    <t>04/11/2022</t>
  </si>
  <si>
    <t>Sales Summary</t>
  </si>
  <si>
    <t>Total Orders:</t>
  </si>
  <si>
    <t>Total Sales:</t>
  </si>
  <si>
    <t>Average Order Value:</t>
  </si>
  <si>
    <t>Total Employees:</t>
  </si>
  <si>
    <t>Average Salary:</t>
  </si>
  <si>
    <t>Total Sales</t>
  </si>
  <si>
    <t>Product Performance</t>
  </si>
  <si>
    <t>Highest Salary:</t>
  </si>
  <si>
    <t>Lowest Salary:</t>
  </si>
  <si>
    <t>Total Salary High Tag Emloyees:</t>
  </si>
  <si>
    <t>Total Salary Low Tag Emloyees:</t>
  </si>
  <si>
    <t>Experience Status</t>
  </si>
  <si>
    <t>Salary Rating</t>
  </si>
  <si>
    <t>Total Experienced Employees</t>
  </si>
  <si>
    <t>Total Fresher Employees</t>
  </si>
  <si>
    <t>Adelina Sellers</t>
  </si>
  <si>
    <t>Madden Vaughn</t>
  </si>
  <si>
    <t>Reign Wise</t>
  </si>
  <si>
    <t>Frederick Holland</t>
  </si>
  <si>
    <t>Mariah Hampton</t>
  </si>
  <si>
    <t>Hank McMillan</t>
  </si>
  <si>
    <t>Oakleigh Velez</t>
  </si>
  <si>
    <t>Kareem Knox</t>
  </si>
  <si>
    <t>Kallie Warner</t>
  </si>
  <si>
    <t>Jaxton Tapia</t>
  </si>
  <si>
    <t>Michaela Espinosa</t>
  </si>
  <si>
    <t>Khalid Goodwin</t>
  </si>
  <si>
    <t>Shiloh Nunez</t>
  </si>
  <si>
    <t>Caden Villegas</t>
  </si>
  <si>
    <t>Jessie Carlson</t>
  </si>
  <si>
    <t>Paul Mullen</t>
  </si>
  <si>
    <t>Shay Hamilton</t>
  </si>
  <si>
    <t>Jason Morrison</t>
  </si>
  <si>
    <t>Rebecca Parks</t>
  </si>
  <si>
    <t>Gianni Krueger</t>
  </si>
  <si>
    <t>Kamari Shaw</t>
  </si>
  <si>
    <t>Elliot Martinez</t>
  </si>
  <si>
    <t>Harper Carson</t>
  </si>
  <si>
    <t>Ares McFarland</t>
  </si>
  <si>
    <t>Annika Boyle</t>
  </si>
  <si>
    <t>Robin Jimenez</t>
  </si>
  <si>
    <t>Adeline Wood</t>
  </si>
  <si>
    <t>Carson Collier</t>
  </si>
  <si>
    <t>Ivory Mendoza</t>
  </si>
  <si>
    <t>Dominic Adkins</t>
  </si>
  <si>
    <t>DAY</t>
  </si>
  <si>
    <t>MONTH</t>
  </si>
  <si>
    <t>YEAR</t>
  </si>
  <si>
    <t xml:space="preserve">Total Sales </t>
  </si>
  <si>
    <t>Row Labels</t>
  </si>
  <si>
    <t xml:space="preserve">Sum of Total Sales </t>
  </si>
  <si>
    <t>January</t>
  </si>
  <si>
    <t>February</t>
  </si>
  <si>
    <t>March</t>
  </si>
  <si>
    <t>Sum of YEAR</t>
  </si>
  <si>
    <t>Sum of Quantity</t>
  </si>
  <si>
    <t>Month</t>
  </si>
  <si>
    <t>Rank</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</si>
</sst>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numFmt numFmtId="165" formatCode="mm/dd/yyyy"/>
    <numFmt numFmtId="166" formatCode="\$#,##0"/>
    <numFmt numFmtId="167" formatCode="[$-409]d\-mmm\-yyyy;@"/>
    <numFmt numFmtId="168" formatCode="[$-409]d\-mmm\-yy;@"/>
  </numFmts>
  <fonts count="6">
    <font>
      <sz val="11"/>
      <color theme="1"/>
      <name val="Calibri"/>
      <family val="2"/>
      <charset val="1"/>
    </font>
    <font>
      <b/>
      <sz val="11"/>
      <color rgb="FFFFFFFF"/>
      <name val="Cambria"/>
      <charset val="1"/>
    </font>
    <font>
      <b/>
      <sz val="14"/>
      <name val="Cambria"/>
      <charset val="1"/>
    </font>
    <font>
      <sz val="10"/>
      <color rgb="FF000000"/>
      <name val="Inherit"/>
    </font>
    <font>
      <b/>
      <sz val="11"/>
      <color rgb="FFFFFFFF"/>
      <name val="Cambria"/>
      <family val="1"/>
    </font>
    <font>
      <b/>
      <sz val="11"/>
      <color theme="4" tint="-0.249977111117893"/>
      <name val="Calibri"/>
      <family val="2"/>
    </font>
  </fonts>
  <fills count="4">
    <fill>
      <patternFill patternType="none"/>
    </fill>
    <fill>
      <patternFill patternType="gray125"/>
    </fill>
    <fill>
      <patternFill patternType="solid">
        <fgColor rgb="FF4472C4"/>
        <bgColor rgb="FF666699"/>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xf>
    <xf numFmtId="0" fontId="0" fillId="0" borderId="1" xfId="0" applyFont="1" applyBorder="1"/>
    <xf numFmtId="164" fontId="0" fillId="0" borderId="1" xfId="0" applyNumberFormat="1" applyBorder="1"/>
    <xf numFmtId="165" fontId="0" fillId="0" borderId="1" xfId="0" applyNumberFormat="1" applyFont="1" applyBorder="1"/>
    <xf numFmtId="166" fontId="0" fillId="0" borderId="1" xfId="0" applyNumberFormat="1" applyBorder="1"/>
    <xf numFmtId="0" fontId="2" fillId="0" borderId="0" xfId="0" applyFont="1"/>
    <xf numFmtId="1" fontId="0" fillId="0" borderId="0" xfId="0" applyNumberFormat="1"/>
    <xf numFmtId="164" fontId="0" fillId="0" borderId="0" xfId="0" applyNumberFormat="1"/>
    <xf numFmtId="166" fontId="0" fillId="0" borderId="0" xfId="0" applyNumberFormat="1"/>
    <xf numFmtId="0" fontId="1" fillId="2" borderId="2" xfId="0" applyFont="1" applyFill="1" applyBorder="1" applyAlignment="1">
      <alignment horizontal="center"/>
    </xf>
    <xf numFmtId="0" fontId="0" fillId="0" borderId="0" xfId="0" applyNumberFormat="1"/>
    <xf numFmtId="167" fontId="1" fillId="2" borderId="1" xfId="0" applyNumberFormat="1" applyFont="1" applyFill="1" applyBorder="1" applyAlignment="1">
      <alignment horizontal="center"/>
    </xf>
    <xf numFmtId="167" fontId="0" fillId="0" borderId="0" xfId="0" applyNumberFormat="1"/>
    <xf numFmtId="168" fontId="0" fillId="0" borderId="1" xfId="0" applyNumberFormat="1" applyFont="1" applyBorder="1"/>
    <xf numFmtId="0" fontId="0" fillId="0" borderId="0" xfId="0" applyAlignment="1"/>
    <xf numFmtId="0" fontId="3" fillId="0" borderId="1" xfId="0" applyFont="1" applyBorder="1" applyAlignment="1">
      <alignment horizontal="left" vertical="center" wrapText="1" indent="1"/>
    </xf>
    <xf numFmtId="0" fontId="0" fillId="0" borderId="0" xfId="0" applyAlignment="1">
      <alignment horizontal="left"/>
    </xf>
    <xf numFmtId="0" fontId="0" fillId="0" borderId="0" xfId="0" applyAlignment="1">
      <alignment horizontal="center"/>
    </xf>
    <xf numFmtId="0" fontId="4" fillId="2" borderId="2" xfId="0" applyFont="1" applyFill="1" applyBorder="1" applyAlignment="1">
      <alignment horizontal="center"/>
    </xf>
    <xf numFmtId="0" fontId="0" fillId="0" borderId="0" xfId="0" pivotButton="1"/>
    <xf numFmtId="164" fontId="0" fillId="0" borderId="0" xfId="0" applyNumberFormat="1" applyAlignment="1">
      <alignment horizontal="left"/>
    </xf>
    <xf numFmtId="0" fontId="5" fillId="3" borderId="1" xfId="0" applyFont="1" applyFill="1" applyBorder="1"/>
    <xf numFmtId="0" fontId="0" fillId="3" borderId="1" xfId="0" applyFill="1" applyBorder="1"/>
  </cellXfs>
  <cellStyles count="1">
    <cellStyle name="Normal" xfId="0" builtinId="0"/>
  </cellStyles>
  <dxfs count="4">
    <dxf>
      <alignment horizontal="center" vertical="bottom" textRotation="0" wrapText="0" indent="0" justifyLastLine="0" shrinkToFit="0" readingOrder="0"/>
    </dxf>
    <dxf>
      <alignment horizontal="general" vertical="bottom" textRotation="0" wrapText="0" indent="0" justifyLastLine="0" shrinkToFit="0" readingOrder="0"/>
    </dxf>
    <dxf>
      <font>
        <color theme="0"/>
        <name val="Tw Cen MT Condensed"/>
        <scheme val="major"/>
      </font>
      <fill>
        <patternFill>
          <bgColor theme="9" tint="-0.24994659260841701"/>
        </patternFill>
      </fill>
    </dxf>
    <dxf>
      <font>
        <color theme="1"/>
      </font>
      <fill>
        <patternFill>
          <bgColor theme="9" tint="-0.24994659260841701"/>
        </patternFill>
      </fill>
    </dxf>
  </dxfs>
  <tableStyles count="4" defaultTableStyle="TableStyleMedium2" defaultPivotStyle="PivotStyleLight16">
    <tableStyle name="Slicer Style 1" pivot="0" table="0" count="0"/>
    <tableStyle name="Slicer Style 2" pivot="0" table="0" count="1">
      <tableStyleElement type="headerRow" dxfId="3"/>
    </tableStyle>
    <tableStyle name="Slicer Style 3" pivot="0" table="0" count="1">
      <tableStyleElement type="headerRow" dxfId="2"/>
    </tableStyle>
    <tableStyle name="Slicer Style 4" pivot="0" table="0" count="1"/>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1">
        <dxf>
          <fill>
            <gradientFill degree="90">
              <stop position="0">
                <color theme="6" tint="0.59999389629810485"/>
              </stop>
              <stop position="1">
                <color theme="4" tint="0.49803155613879818"/>
              </stop>
            </gradient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[Porfolio Project 1.xlsx]Pivot Tables!PivotTable3</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manualLayout>
          <c:layoutTarget val="inner"/>
          <c:xMode val="edge"/>
          <c:yMode val="edge"/>
          <c:x val="6.2703527071928652E-2"/>
          <c:y val="0.16101633129192183"/>
          <c:w val="0.92162370573324748"/>
          <c:h val="0.66168598716827065"/>
        </c:manualLayout>
      </c:layout>
      <c:areaChart>
        <c:grouping val="stacked"/>
        <c:varyColors val="0"/>
        <c:ser>
          <c:idx val="0"/>
          <c:order val="0"/>
          <c:tx>
            <c:strRef>
              <c:f>'Pivot Tables'!$B$3</c:f>
              <c:strCache>
                <c:ptCount val="1"/>
                <c:pt idx="0">
                  <c:v>Total</c:v>
                </c:pt>
              </c:strCache>
            </c:strRef>
          </c:tx>
          <c:spPr>
            <a:solidFill>
              <a:schemeClr val="accent1"/>
            </a:solidFill>
            <a:ln w="25400">
              <a:noFill/>
            </a:ln>
            <a:effectLst/>
          </c:spPr>
          <c:cat>
            <c:strRef>
              <c:f>'Pivot Tables'!$A$4:$A$12</c:f>
              <c:strCache>
                <c:ptCount val="9"/>
                <c:pt idx="0">
                  <c:v>10</c:v>
                </c:pt>
                <c:pt idx="1">
                  <c:v>11</c:v>
                </c:pt>
                <c:pt idx="2">
                  <c:v>14</c:v>
                </c:pt>
                <c:pt idx="3">
                  <c:v>15</c:v>
                </c:pt>
                <c:pt idx="4">
                  <c:v>17</c:v>
                </c:pt>
                <c:pt idx="5">
                  <c:v>19</c:v>
                </c:pt>
                <c:pt idx="6">
                  <c:v>20</c:v>
                </c:pt>
                <c:pt idx="7">
                  <c:v>27</c:v>
                </c:pt>
                <c:pt idx="8">
                  <c:v>30</c:v>
                </c:pt>
              </c:strCache>
            </c:strRef>
          </c:cat>
          <c:val>
            <c:numRef>
              <c:f>'Pivot Tables'!$B$4:$B$12</c:f>
              <c:numCache>
                <c:formatCode>General</c:formatCode>
                <c:ptCount val="9"/>
                <c:pt idx="0">
                  <c:v>4251.55</c:v>
                </c:pt>
                <c:pt idx="1">
                  <c:v>6675.9</c:v>
                </c:pt>
                <c:pt idx="2">
                  <c:v>2967.18</c:v>
                </c:pt>
                <c:pt idx="3">
                  <c:v>4077.36</c:v>
                </c:pt>
                <c:pt idx="4">
                  <c:v>5326.46</c:v>
                </c:pt>
                <c:pt idx="5">
                  <c:v>803.21</c:v>
                </c:pt>
                <c:pt idx="6">
                  <c:v>4814.7</c:v>
                </c:pt>
                <c:pt idx="7">
                  <c:v>5430.99</c:v>
                </c:pt>
                <c:pt idx="8">
                  <c:v>4292.96</c:v>
                </c:pt>
              </c:numCache>
            </c:numRef>
          </c:val>
        </c:ser>
        <c:dLbls>
          <c:showLegendKey val="0"/>
          <c:showVal val="0"/>
          <c:showCatName val="0"/>
          <c:showSerName val="0"/>
          <c:showPercent val="0"/>
          <c:showBubbleSize val="0"/>
        </c:dLbls>
        <c:axId val="317419520"/>
        <c:axId val="317419912"/>
      </c:areaChart>
      <c:catAx>
        <c:axId val="317419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419912"/>
        <c:crosses val="autoZero"/>
        <c:auto val="1"/>
        <c:lblAlgn val="ctr"/>
        <c:lblOffset val="100"/>
        <c:noMultiLvlLbl val="0"/>
      </c:catAx>
      <c:valAx>
        <c:axId val="3174199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41952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Tables'!$K$3</c:f>
              <c:strCache>
                <c:ptCount val="1"/>
                <c:pt idx="0">
                  <c:v>Total Sales</c:v>
                </c:pt>
              </c:strCache>
            </c:strRef>
          </c:tx>
          <c:spPr>
            <a:solidFill>
              <a:schemeClr val="accent1"/>
            </a:solidFill>
            <a:ln>
              <a:noFill/>
            </a:ln>
            <a:effectLst/>
          </c:spPr>
          <c:invertIfNegative val="0"/>
          <c:cat>
            <c:strRef>
              <c:f>'Pivot Tables'!$J$4:$J$6</c:f>
              <c:strCache>
                <c:ptCount val="3"/>
                <c:pt idx="0">
                  <c:v>January</c:v>
                </c:pt>
                <c:pt idx="1">
                  <c:v>February</c:v>
                </c:pt>
                <c:pt idx="2">
                  <c:v>March</c:v>
                </c:pt>
              </c:strCache>
            </c:strRef>
          </c:cat>
          <c:val>
            <c:numRef>
              <c:f>'Pivot Tables'!$K$4:$K$6</c:f>
              <c:numCache>
                <c:formatCode>General</c:formatCode>
                <c:ptCount val="3"/>
                <c:pt idx="0">
                  <c:v>19417.440000000002</c:v>
                </c:pt>
                <c:pt idx="1">
                  <c:v>10622.51</c:v>
                </c:pt>
                <c:pt idx="2">
                  <c:v>8600.36</c:v>
                </c:pt>
              </c:numCache>
            </c:numRef>
          </c:val>
        </c:ser>
        <c:dLbls>
          <c:showLegendKey val="0"/>
          <c:showVal val="0"/>
          <c:showCatName val="0"/>
          <c:showSerName val="0"/>
          <c:showPercent val="0"/>
          <c:showBubbleSize val="0"/>
        </c:dLbls>
        <c:gapWidth val="219"/>
        <c:overlap val="-27"/>
        <c:axId val="317420304"/>
        <c:axId val="317420696"/>
      </c:barChart>
      <c:catAx>
        <c:axId val="317420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420696"/>
        <c:crosses val="autoZero"/>
        <c:auto val="1"/>
        <c:lblAlgn val="ctr"/>
        <c:lblOffset val="100"/>
        <c:noMultiLvlLbl val="0"/>
      </c:catAx>
      <c:valAx>
        <c:axId val="317420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420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[Porfolio Project 1.xlsx]Pivot Tables!PivotTable7</c:name>
    <c:fmtId val="2"/>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Tables'!$Q$3</c:f>
              <c:strCache>
                <c:ptCount val="1"/>
                <c:pt idx="0">
                  <c:v>Sum of Quantity</c:v>
                </c:pt>
              </c:strCache>
            </c:strRef>
          </c:tx>
          <c:spPr>
            <a:ln w="28575" cap="rnd">
              <a:solidFill>
                <a:schemeClr val="accent1"/>
              </a:solidFill>
              <a:round/>
            </a:ln>
            <a:effectLst/>
          </c:spPr>
          <c:marker>
            <c:symbol val="none"/>
          </c:marker>
          <c:cat>
            <c:strRef>
              <c:f>'Pivot Tables'!$P$4:$P$10</c:f>
              <c:strCache>
                <c:ptCount val="7"/>
                <c:pt idx="0">
                  <c:v>Desk Lamp</c:v>
                </c:pt>
                <c:pt idx="1">
                  <c:v>Headphones</c:v>
                </c:pt>
                <c:pt idx="2">
                  <c:v>Laptop</c:v>
                </c:pt>
                <c:pt idx="3">
                  <c:v>Monitor</c:v>
                </c:pt>
                <c:pt idx="4">
                  <c:v>Mouse</c:v>
                </c:pt>
                <c:pt idx="5">
                  <c:v>USB Cable</c:v>
                </c:pt>
                <c:pt idx="6">
                  <c:v>Webcam</c:v>
                </c:pt>
              </c:strCache>
            </c:strRef>
          </c:cat>
          <c:val>
            <c:numRef>
              <c:f>'Pivot Tables'!$Q$4:$Q$10</c:f>
              <c:numCache>
                <c:formatCode>General</c:formatCode>
                <c:ptCount val="7"/>
                <c:pt idx="0">
                  <c:v>24</c:v>
                </c:pt>
                <c:pt idx="1">
                  <c:v>33</c:v>
                </c:pt>
                <c:pt idx="2">
                  <c:v>48</c:v>
                </c:pt>
                <c:pt idx="3">
                  <c:v>28</c:v>
                </c:pt>
                <c:pt idx="4">
                  <c:v>17</c:v>
                </c:pt>
                <c:pt idx="5">
                  <c:v>4</c:v>
                </c:pt>
                <c:pt idx="6">
                  <c:v>16</c:v>
                </c:pt>
              </c:numCache>
            </c:numRef>
          </c:val>
          <c:smooth val="0"/>
        </c:ser>
        <c:ser>
          <c:idx val="1"/>
          <c:order val="1"/>
          <c:tx>
            <c:strRef>
              <c:f>'Pivot Tables'!$R$3</c:f>
              <c:strCache>
                <c:ptCount val="1"/>
                <c:pt idx="0">
                  <c:v>Sum of Total Sales </c:v>
                </c:pt>
              </c:strCache>
            </c:strRef>
          </c:tx>
          <c:spPr>
            <a:ln w="28575" cap="rnd">
              <a:solidFill>
                <a:schemeClr val="accent2"/>
              </a:solidFill>
              <a:round/>
            </a:ln>
            <a:effectLst/>
          </c:spPr>
          <c:marker>
            <c:symbol val="none"/>
          </c:marker>
          <c:cat>
            <c:strRef>
              <c:f>'Pivot Tables'!$P$4:$P$10</c:f>
              <c:strCache>
                <c:ptCount val="7"/>
                <c:pt idx="0">
                  <c:v>Desk Lamp</c:v>
                </c:pt>
                <c:pt idx="1">
                  <c:v>Headphones</c:v>
                </c:pt>
                <c:pt idx="2">
                  <c:v>Laptop</c:v>
                </c:pt>
                <c:pt idx="3">
                  <c:v>Monitor</c:v>
                </c:pt>
                <c:pt idx="4">
                  <c:v>Mouse</c:v>
                </c:pt>
                <c:pt idx="5">
                  <c:v>USB Cable</c:v>
                </c:pt>
                <c:pt idx="6">
                  <c:v>Webcam</c:v>
                </c:pt>
              </c:strCache>
            </c:strRef>
          </c:cat>
          <c:val>
            <c:numRef>
              <c:f>'Pivot Tables'!$R$4:$R$10</c:f>
              <c:numCache>
                <c:formatCode>General</c:formatCode>
                <c:ptCount val="7"/>
                <c:pt idx="0">
                  <c:v>812.52</c:v>
                </c:pt>
                <c:pt idx="1">
                  <c:v>8995.16</c:v>
                </c:pt>
                <c:pt idx="2">
                  <c:v>9609.85</c:v>
                </c:pt>
                <c:pt idx="3">
                  <c:v>7781.8799999999992</c:v>
                </c:pt>
                <c:pt idx="4">
                  <c:v>6675.9</c:v>
                </c:pt>
                <c:pt idx="5">
                  <c:v>472.04</c:v>
                </c:pt>
                <c:pt idx="6">
                  <c:v>4292.96</c:v>
                </c:pt>
              </c:numCache>
            </c:numRef>
          </c:val>
          <c:smooth val="0"/>
        </c:ser>
        <c:dLbls>
          <c:showLegendKey val="0"/>
          <c:showVal val="0"/>
          <c:showCatName val="0"/>
          <c:showSerName val="0"/>
          <c:showPercent val="0"/>
          <c:showBubbleSize val="0"/>
        </c:dLbls>
        <c:smooth val="0"/>
        <c:axId val="317421872"/>
        <c:axId val="317076432"/>
      </c:lineChart>
      <c:catAx>
        <c:axId val="31742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76432"/>
        <c:crosses val="autoZero"/>
        <c:auto val="1"/>
        <c:lblAlgn val="ctr"/>
        <c:lblOffset val="100"/>
        <c:noMultiLvlLbl val="0"/>
      </c:catAx>
      <c:valAx>
        <c:axId val="31707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421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[Porfolio Project 1.xlsx]Pivot Tables!PivotTable8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 Tables'!$V$3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Tables'!$U$4</c:f>
              <c:strCache>
                <c:ptCount val="1"/>
                <c:pt idx="0">
                  <c:v>Electronics</c:v>
                </c:pt>
              </c:strCache>
            </c:strRef>
          </c:cat>
          <c:val>
            <c:numRef>
              <c:f>'Pivot Tables'!$V$4</c:f>
              <c:numCache>
                <c:formatCode>General</c:formatCode>
                <c:ptCount val="1"/>
                <c:pt idx="0">
                  <c:v>38640.31</c:v>
                </c:pt>
              </c:numCache>
            </c:numRef>
          </c:val>
        </c:ser>
        <c:dLbls>
          <c:dLblPos val="ctr"/>
          <c:showLegendKey val="0"/>
          <c:showVal val="1"/>
          <c:showCatName val="0"/>
          <c:showSerName val="0"/>
          <c:showPercent val="0"/>
          <c:showBubbleSize val="0"/>
        </c:dLbls>
        <c:gapWidth val="150"/>
        <c:overlap val="100"/>
        <c:axId val="317078392"/>
        <c:axId val="317078784"/>
      </c:barChart>
      <c:catAx>
        <c:axId val="317078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78784"/>
        <c:crosses val="autoZero"/>
        <c:auto val="1"/>
        <c:lblAlgn val="ctr"/>
        <c:lblOffset val="100"/>
        <c:noMultiLvlLbl val="0"/>
      </c:catAx>
      <c:valAx>
        <c:axId val="317078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78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[Porfolio Project 1.xlsx]Pivot Tables!PivotTable9</c:name>
    <c:fmtId val="1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'Pivot Tables'!$Y$3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Tables'!$X$4:$X$7</c:f>
              <c:strCache>
                <c:ptCount val="4"/>
                <c:pt idx="0">
                  <c:v>East</c:v>
                </c:pt>
                <c:pt idx="1">
                  <c:v>North</c:v>
                </c:pt>
                <c:pt idx="2">
                  <c:v>South</c:v>
                </c:pt>
                <c:pt idx="3">
                  <c:v>West</c:v>
                </c:pt>
              </c:strCache>
            </c:strRef>
          </c:cat>
          <c:val>
            <c:numRef>
              <c:f>'Pivot Tables'!$Y$4:$Y$7</c:f>
              <c:numCache>
                <c:formatCode>General</c:formatCode>
                <c:ptCount val="4"/>
                <c:pt idx="0">
                  <c:v>12293.51</c:v>
                </c:pt>
                <c:pt idx="1">
                  <c:v>16255.599999999999</c:v>
                </c:pt>
                <c:pt idx="2">
                  <c:v>687.38</c:v>
                </c:pt>
                <c:pt idx="3">
                  <c:v>9403.82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38098</xdr:colOff>
      <xdr:row>0</xdr:row>
      <xdr:rowOff>28575</xdr:rowOff>
    </xdr:from>
    <xdr:to>
      <xdr:col>33</xdr:col>
      <xdr:colOff>28863</xdr:colOff>
      <xdr:row>68</xdr:row>
      <xdr:rowOff>173182</xdr:rowOff>
    </xdr:to>
    <xdr:sp macro="" textlink="">
      <xdr:nvSpPr>
        <xdr:cNvPr id="3" name="Rectangle 2"/>
        <xdr:cNvSpPr/>
      </xdr:nvSpPr>
      <xdr:spPr>
        <a:xfrm>
          <a:off x="38098" y="28575"/>
          <a:ext cx="19993265" cy="13883698"/>
        </a:xfrm>
        <a:prstGeom prst="rect">
          <a:avLst/>
        </a:prstGeom>
        <a:solidFill>
          <a:schemeClr val="accent6">
            <a:lumMod val="60000"/>
            <a:lumOff val="40000"/>
          </a:schemeClr>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131274</xdr:colOff>
      <xdr:row>2</xdr:row>
      <xdr:rowOff>3053</xdr:rowOff>
    </xdr:from>
    <xdr:to>
      <xdr:col>9</xdr:col>
      <xdr:colOff>555625</xdr:colOff>
      <xdr:row>7</xdr:row>
      <xdr:rowOff>137102</xdr:rowOff>
    </xdr:to>
    <xdr:sp macro="" textlink="">
      <xdr:nvSpPr>
        <xdr:cNvPr id="5" name="Rounded Rectangle 4"/>
        <xdr:cNvSpPr/>
      </xdr:nvSpPr>
      <xdr:spPr>
        <a:xfrm>
          <a:off x="131274" y="399928"/>
          <a:ext cx="5782164" cy="1126237"/>
        </a:xfrm>
        <a:prstGeom prst="round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60000"/>
                <a:lumOff val="40000"/>
              </a:schemeClr>
            </a:solidFill>
          </a:endParaRPr>
        </a:p>
      </xdr:txBody>
    </xdr:sp>
    <xdr:clientData/>
  </xdr:twoCellAnchor>
  <xdr:twoCellAnchor>
    <xdr:from>
      <xdr:col>10</xdr:col>
      <xdr:colOff>351080</xdr:colOff>
      <xdr:row>4</xdr:row>
      <xdr:rowOff>64110</xdr:rowOff>
    </xdr:from>
    <xdr:to>
      <xdr:col>19</xdr:col>
      <xdr:colOff>277812</xdr:colOff>
      <xdr:row>9</xdr:row>
      <xdr:rowOff>64109</xdr:rowOff>
    </xdr:to>
    <xdr:sp macro="" textlink="">
      <xdr:nvSpPr>
        <xdr:cNvPr id="6" name="TextBox 5"/>
        <xdr:cNvSpPr txBox="1"/>
      </xdr:nvSpPr>
      <xdr:spPr>
        <a:xfrm>
          <a:off x="6304205" y="857860"/>
          <a:ext cx="5284545" cy="992187"/>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a:solidFill>
                <a:schemeClr val="tx1"/>
              </a:solidFill>
            </a:rPr>
            <a:t>Sales Dashboard</a:t>
          </a:r>
        </a:p>
      </xdr:txBody>
    </xdr:sp>
    <xdr:clientData/>
  </xdr:twoCellAnchor>
  <xdr:twoCellAnchor>
    <xdr:from>
      <xdr:col>0</xdr:col>
      <xdr:colOff>144318</xdr:colOff>
      <xdr:row>8</xdr:row>
      <xdr:rowOff>115455</xdr:rowOff>
    </xdr:from>
    <xdr:to>
      <xdr:col>4</xdr:col>
      <xdr:colOff>202046</xdr:colOff>
      <xdr:row>20</xdr:row>
      <xdr:rowOff>57728</xdr:rowOff>
    </xdr:to>
    <xdr:sp macro="" textlink="">
      <xdr:nvSpPr>
        <xdr:cNvPr id="7" name="Rounded Rectangle 6"/>
        <xdr:cNvSpPr/>
      </xdr:nvSpPr>
      <xdr:spPr>
        <a:xfrm>
          <a:off x="144318" y="1663268"/>
          <a:ext cx="2498509" cy="2263991"/>
        </a:xfrm>
        <a:prstGeom prst="roundRect">
          <a:avLst>
            <a:gd name="adj" fmla="val 6807"/>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173181</xdr:colOff>
      <xdr:row>21</xdr:row>
      <xdr:rowOff>28864</xdr:rowOff>
    </xdr:from>
    <xdr:to>
      <xdr:col>4</xdr:col>
      <xdr:colOff>235804</xdr:colOff>
      <xdr:row>39</xdr:row>
      <xdr:rowOff>115456</xdr:rowOff>
    </xdr:to>
    <xdr:sp macro="" textlink="">
      <xdr:nvSpPr>
        <xdr:cNvPr id="8" name="Rounded Rectangle 7"/>
        <xdr:cNvSpPr/>
      </xdr:nvSpPr>
      <xdr:spPr>
        <a:xfrm>
          <a:off x="173181" y="4091872"/>
          <a:ext cx="2503404" cy="3569170"/>
        </a:xfrm>
        <a:prstGeom prst="roundRect">
          <a:avLst>
            <a:gd name="adj" fmla="val 8344"/>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60000"/>
                <a:lumOff val="40000"/>
              </a:schemeClr>
            </a:solidFill>
          </a:endParaRPr>
        </a:p>
      </xdr:txBody>
    </xdr:sp>
    <xdr:clientData/>
  </xdr:twoCellAnchor>
  <xdr:twoCellAnchor>
    <xdr:from>
      <xdr:col>5</xdr:col>
      <xdr:colOff>127127</xdr:colOff>
      <xdr:row>9</xdr:row>
      <xdr:rowOff>45286</xdr:rowOff>
    </xdr:from>
    <xdr:to>
      <xdr:col>14</xdr:col>
      <xdr:colOff>40536</xdr:colOff>
      <xdr:row>14</xdr:row>
      <xdr:rowOff>74150</xdr:rowOff>
    </xdr:to>
    <xdr:sp macro="" textlink="">
      <xdr:nvSpPr>
        <xdr:cNvPr id="9" name="Rounded Rectangle 8"/>
        <xdr:cNvSpPr/>
      </xdr:nvSpPr>
      <xdr:spPr>
        <a:xfrm>
          <a:off x="3165274" y="1818907"/>
          <a:ext cx="5382072" cy="1014209"/>
        </a:xfrm>
        <a:prstGeom prst="roundRect">
          <a:avLst>
            <a:gd name="adj" fmla="val 8171"/>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235011</xdr:colOff>
      <xdr:row>9</xdr:row>
      <xdr:rowOff>8083</xdr:rowOff>
    </xdr:from>
    <xdr:to>
      <xdr:col>23</xdr:col>
      <xdr:colOff>587712</xdr:colOff>
      <xdr:row>14</xdr:row>
      <xdr:rowOff>36947</xdr:rowOff>
    </xdr:to>
    <xdr:sp macro="" textlink="">
      <xdr:nvSpPr>
        <xdr:cNvPr id="10" name="Rounded Rectangle 9"/>
        <xdr:cNvSpPr/>
      </xdr:nvSpPr>
      <xdr:spPr>
        <a:xfrm>
          <a:off x="9354692" y="1649626"/>
          <a:ext cx="5216531" cy="940832"/>
        </a:xfrm>
        <a:prstGeom prst="roundRect">
          <a:avLst>
            <a:gd name="adj" fmla="val 9385"/>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162137</xdr:colOff>
      <xdr:row>21</xdr:row>
      <xdr:rowOff>13607</xdr:rowOff>
    </xdr:from>
    <xdr:to>
      <xdr:col>14</xdr:col>
      <xdr:colOff>74438</xdr:colOff>
      <xdr:row>26</xdr:row>
      <xdr:rowOff>42471</xdr:rowOff>
    </xdr:to>
    <xdr:sp macro="" textlink="">
      <xdr:nvSpPr>
        <xdr:cNvPr id="11" name="Rounded Rectangle 10"/>
        <xdr:cNvSpPr/>
      </xdr:nvSpPr>
      <xdr:spPr>
        <a:xfrm>
          <a:off x="3236662" y="4064746"/>
          <a:ext cx="5446447" cy="993421"/>
        </a:xfrm>
        <a:prstGeom prst="roundRect">
          <a:avLst>
            <a:gd name="adj" fmla="val 10691"/>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134951</xdr:colOff>
      <xdr:row>15</xdr:row>
      <xdr:rowOff>23344</xdr:rowOff>
    </xdr:from>
    <xdr:to>
      <xdr:col>14</xdr:col>
      <xdr:colOff>47252</xdr:colOff>
      <xdr:row>20</xdr:row>
      <xdr:rowOff>52208</xdr:rowOff>
    </xdr:to>
    <xdr:sp macro="" textlink="">
      <xdr:nvSpPr>
        <xdr:cNvPr id="12" name="Rounded Rectangle 11"/>
        <xdr:cNvSpPr/>
      </xdr:nvSpPr>
      <xdr:spPr>
        <a:xfrm>
          <a:off x="3209476" y="2917015"/>
          <a:ext cx="5446447" cy="993421"/>
        </a:xfrm>
        <a:prstGeom prst="roundRect">
          <a:avLst>
            <a:gd name="adj" fmla="val 10599"/>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284793</xdr:colOff>
      <xdr:row>14</xdr:row>
      <xdr:rowOff>172263</xdr:rowOff>
    </xdr:from>
    <xdr:to>
      <xdr:col>23</xdr:col>
      <xdr:colOff>601687</xdr:colOff>
      <xdr:row>20</xdr:row>
      <xdr:rowOff>8215</xdr:rowOff>
    </xdr:to>
    <xdr:sp macro="" textlink="">
      <xdr:nvSpPr>
        <xdr:cNvPr id="13" name="Rounded Rectangle 12"/>
        <xdr:cNvSpPr/>
      </xdr:nvSpPr>
      <xdr:spPr>
        <a:xfrm>
          <a:off x="9399233" y="2931229"/>
          <a:ext cx="5177928" cy="1018365"/>
        </a:xfrm>
        <a:prstGeom prst="roundRect">
          <a:avLst>
            <a:gd name="adj" fmla="val 8171"/>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299653</xdr:colOff>
      <xdr:row>21</xdr:row>
      <xdr:rowOff>15925</xdr:rowOff>
    </xdr:from>
    <xdr:to>
      <xdr:col>24</xdr:col>
      <xdr:colOff>1641</xdr:colOff>
      <xdr:row>26</xdr:row>
      <xdr:rowOff>27951</xdr:rowOff>
    </xdr:to>
    <xdr:sp macro="" textlink="">
      <xdr:nvSpPr>
        <xdr:cNvPr id="14" name="Rounded Rectangle 13"/>
        <xdr:cNvSpPr/>
      </xdr:nvSpPr>
      <xdr:spPr>
        <a:xfrm>
          <a:off x="9427778" y="3905300"/>
          <a:ext cx="5178863" cy="938068"/>
        </a:xfrm>
        <a:prstGeom prst="roundRect">
          <a:avLst>
            <a:gd name="adj" fmla="val 8092"/>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8081</xdr:colOff>
      <xdr:row>27</xdr:row>
      <xdr:rowOff>181265</xdr:rowOff>
    </xdr:from>
    <xdr:to>
      <xdr:col>19</xdr:col>
      <xdr:colOff>112060</xdr:colOff>
      <xdr:row>50</xdr:row>
      <xdr:rowOff>84044</xdr:rowOff>
    </xdr:to>
    <xdr:sp macro="" textlink="">
      <xdr:nvSpPr>
        <xdr:cNvPr id="16" name="Rounded Rectangle 15"/>
        <xdr:cNvSpPr/>
      </xdr:nvSpPr>
      <xdr:spPr>
        <a:xfrm>
          <a:off x="3038763" y="5191168"/>
          <a:ext cx="8589888" cy="4170473"/>
        </a:xfrm>
        <a:prstGeom prst="roundRect">
          <a:avLst>
            <a:gd name="adj" fmla="val 2371"/>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60000"/>
                <a:lumOff val="40000"/>
              </a:schemeClr>
            </a:solidFill>
          </a:endParaRPr>
        </a:p>
      </xdr:txBody>
    </xdr:sp>
    <xdr:clientData/>
  </xdr:twoCellAnchor>
  <xdr:twoCellAnchor editAs="oneCell">
    <xdr:from>
      <xdr:col>0</xdr:col>
      <xdr:colOff>229451</xdr:colOff>
      <xdr:row>8</xdr:row>
      <xdr:rowOff>128686</xdr:rowOff>
    </xdr:from>
    <xdr:to>
      <xdr:col>4</xdr:col>
      <xdr:colOff>137214</xdr:colOff>
      <xdr:row>19</xdr:row>
      <xdr:rowOff>140648</xdr:rowOff>
    </xdr:to>
    <mc:AlternateContent xmlns:mc="http://schemas.openxmlformats.org/markup-compatibility/2006" xmlns:a14="http://schemas.microsoft.com/office/drawing/2010/main">
      <mc:Choice Requires="a14">
        <xdr:graphicFrame macro="">
          <xdr:nvGraphicFramePr>
            <xdr:cNvPr id="1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9451" y="1594071"/>
              <a:ext cx="2398917" cy="2026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21</xdr:row>
      <xdr:rowOff>148965</xdr:rowOff>
    </xdr:from>
    <xdr:to>
      <xdr:col>4</xdr:col>
      <xdr:colOff>150396</xdr:colOff>
      <xdr:row>38</xdr:row>
      <xdr:rowOff>177209</xdr:rowOff>
    </xdr:to>
    <mc:AlternateContent xmlns:mc="http://schemas.openxmlformats.org/markup-compatibility/2006" xmlns:a14="http://schemas.microsoft.com/office/drawing/2010/main">
      <mc:Choice Requires="a14">
        <xdr:graphicFrame macro="">
          <xdr:nvGraphicFramePr>
            <xdr:cNvPr id="19"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8125" y="3995600"/>
              <a:ext cx="2403425" cy="3142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157160</xdr:colOff>
      <xdr:row>40</xdr:row>
      <xdr:rowOff>117872</xdr:rowOff>
    </xdr:from>
    <xdr:to>
      <xdr:col>4</xdr:col>
      <xdr:colOff>219783</xdr:colOff>
      <xdr:row>59</xdr:row>
      <xdr:rowOff>25870</xdr:rowOff>
    </xdr:to>
    <xdr:sp macro="" textlink="">
      <xdr:nvSpPr>
        <xdr:cNvPr id="20" name="Rounded Rectangle 19"/>
        <xdr:cNvSpPr/>
      </xdr:nvSpPr>
      <xdr:spPr>
        <a:xfrm>
          <a:off x="157160" y="7261622"/>
          <a:ext cx="2443873" cy="3301279"/>
        </a:xfrm>
        <a:prstGeom prst="roundRect">
          <a:avLst>
            <a:gd name="adj" fmla="val 8344"/>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60000"/>
                <a:lumOff val="40000"/>
              </a:schemeClr>
            </a:solidFill>
          </a:endParaRPr>
        </a:p>
      </xdr:txBody>
    </xdr:sp>
    <xdr:clientData/>
  </xdr:twoCellAnchor>
  <xdr:twoCellAnchor editAs="oneCell">
    <xdr:from>
      <xdr:col>0</xdr:col>
      <xdr:colOff>249836</xdr:colOff>
      <xdr:row>41</xdr:row>
      <xdr:rowOff>31229</xdr:rowOff>
    </xdr:from>
    <xdr:to>
      <xdr:col>4</xdr:col>
      <xdr:colOff>116973</xdr:colOff>
      <xdr:row>58</xdr:row>
      <xdr:rowOff>93689</xdr:rowOff>
    </xdr:to>
    <mc:AlternateContent xmlns:mc="http://schemas.openxmlformats.org/markup-compatibility/2006" xmlns:a14="http://schemas.microsoft.com/office/drawing/2010/main">
      <mc:Choice Requires="a14">
        <xdr:graphicFrame macro="">
          <xdr:nvGraphicFramePr>
            <xdr:cNvPr id="2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9836" y="7541325"/>
              <a:ext cx="2358291" cy="3176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113592</xdr:colOff>
      <xdr:row>9</xdr:row>
      <xdr:rowOff>4074</xdr:rowOff>
    </xdr:from>
    <xdr:to>
      <xdr:col>32</xdr:col>
      <xdr:colOff>460887</xdr:colOff>
      <xdr:row>20</xdr:row>
      <xdr:rowOff>130702</xdr:rowOff>
    </xdr:to>
    <xdr:sp macro="" textlink="">
      <xdr:nvSpPr>
        <xdr:cNvPr id="23" name="Rounded Rectangle 22"/>
        <xdr:cNvSpPr/>
      </xdr:nvSpPr>
      <xdr:spPr>
        <a:xfrm>
          <a:off x="14861979" y="1663268"/>
          <a:ext cx="5263424" cy="2154531"/>
        </a:xfrm>
        <a:prstGeom prst="roundRect">
          <a:avLst>
            <a:gd name="adj" fmla="val 6807"/>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190500</xdr:colOff>
      <xdr:row>9</xdr:row>
      <xdr:rowOff>97194</xdr:rowOff>
    </xdr:from>
    <xdr:to>
      <xdr:col>32</xdr:col>
      <xdr:colOff>359833</xdr:colOff>
      <xdr:row>20</xdr:row>
      <xdr:rowOff>26458</xdr:rowOff>
    </xdr:to>
    <mc:AlternateContent xmlns:mc="http://schemas.openxmlformats.org/markup-compatibility/2006" xmlns:a14="http://schemas.microsoft.com/office/drawing/2010/main">
      <mc:Choice Requires="a14">
        <xdr:graphicFrame macro="">
          <xdr:nvGraphicFramePr>
            <xdr:cNvPr id="2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137423" y="1745752"/>
              <a:ext cx="5151641" cy="1944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217236</xdr:colOff>
      <xdr:row>9</xdr:row>
      <xdr:rowOff>100263</xdr:rowOff>
    </xdr:from>
    <xdr:to>
      <xdr:col>8</xdr:col>
      <xdr:colOff>590550</xdr:colOff>
      <xdr:row>14</xdr:row>
      <xdr:rowOff>11906</xdr:rowOff>
    </xdr:to>
    <xdr:sp macro="" textlink="">
      <xdr:nvSpPr>
        <xdr:cNvPr id="25" name="TextBox 24"/>
        <xdr:cNvSpPr txBox="1"/>
      </xdr:nvSpPr>
      <xdr:spPr>
        <a:xfrm>
          <a:off x="3265236" y="1814763"/>
          <a:ext cx="2202114" cy="864143"/>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 Employees:</a:t>
          </a:r>
        </a:p>
      </xdr:txBody>
    </xdr:sp>
    <xdr:clientData/>
  </xdr:twoCellAnchor>
  <xdr:twoCellAnchor>
    <xdr:from>
      <xdr:col>15</xdr:col>
      <xdr:colOff>419769</xdr:colOff>
      <xdr:row>21</xdr:row>
      <xdr:rowOff>85557</xdr:rowOff>
    </xdr:from>
    <xdr:to>
      <xdr:col>18</xdr:col>
      <xdr:colOff>133350</xdr:colOff>
      <xdr:row>25</xdr:row>
      <xdr:rowOff>118978</xdr:rowOff>
    </xdr:to>
    <xdr:sp macro="" textlink="">
      <xdr:nvSpPr>
        <xdr:cNvPr id="27" name="TextBox 26"/>
        <xdr:cNvSpPr txBox="1"/>
      </xdr:nvSpPr>
      <xdr:spPr>
        <a:xfrm>
          <a:off x="9563769" y="4086057"/>
          <a:ext cx="1542381" cy="79542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chemeClr val="dk1"/>
              </a:solidFill>
              <a:effectLst/>
              <a:latin typeface="+mn-lt"/>
              <a:ea typeface="+mn-ea"/>
              <a:cs typeface="+mn-cs"/>
            </a:rPr>
            <a:t>Total Sales:</a:t>
          </a:r>
          <a:r>
            <a:rPr lang="en-US" sz="2400" b="1"/>
            <a:t> </a:t>
          </a:r>
        </a:p>
      </xdr:txBody>
    </xdr:sp>
    <xdr:clientData/>
  </xdr:twoCellAnchor>
  <xdr:twoCellAnchor>
    <xdr:from>
      <xdr:col>5</xdr:col>
      <xdr:colOff>271378</xdr:colOff>
      <xdr:row>21</xdr:row>
      <xdr:rowOff>54142</xdr:rowOff>
    </xdr:from>
    <xdr:to>
      <xdr:col>8</xdr:col>
      <xdr:colOff>190500</xdr:colOff>
      <xdr:row>25</xdr:row>
      <xdr:rowOff>87563</xdr:rowOff>
    </xdr:to>
    <xdr:sp macro="" textlink="">
      <xdr:nvSpPr>
        <xdr:cNvPr id="28" name="TextBox 27"/>
        <xdr:cNvSpPr txBox="1"/>
      </xdr:nvSpPr>
      <xdr:spPr>
        <a:xfrm>
          <a:off x="3319378" y="4054642"/>
          <a:ext cx="1747922" cy="79542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chemeClr val="dk1"/>
              </a:solidFill>
              <a:effectLst/>
              <a:latin typeface="+mn-lt"/>
              <a:ea typeface="+mn-ea"/>
              <a:cs typeface="+mn-cs"/>
            </a:rPr>
            <a:t>Total Orders:</a:t>
          </a:r>
          <a:r>
            <a:rPr lang="en-US" sz="2400" b="1"/>
            <a:t> </a:t>
          </a:r>
        </a:p>
      </xdr:txBody>
    </xdr:sp>
    <xdr:clientData/>
  </xdr:twoCellAnchor>
  <xdr:twoCellAnchor>
    <xdr:from>
      <xdr:col>5</xdr:col>
      <xdr:colOff>232861</xdr:colOff>
      <xdr:row>15</xdr:row>
      <xdr:rowOff>94372</xdr:rowOff>
    </xdr:from>
    <xdr:to>
      <xdr:col>9</xdr:col>
      <xdr:colOff>10243</xdr:colOff>
      <xdr:row>19</xdr:row>
      <xdr:rowOff>178594</xdr:rowOff>
    </xdr:to>
    <xdr:sp macro="" textlink="">
      <xdr:nvSpPr>
        <xdr:cNvPr id="29" name="TextBox 28"/>
        <xdr:cNvSpPr txBox="1"/>
      </xdr:nvSpPr>
      <xdr:spPr>
        <a:xfrm>
          <a:off x="3305442" y="3013324"/>
          <a:ext cx="2235446" cy="862609"/>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Average</a:t>
          </a:r>
          <a:r>
            <a:rPr lang="en-US" sz="2400" b="1" baseline="0"/>
            <a:t> </a:t>
          </a:r>
          <a:r>
            <a:rPr lang="en-US" sz="2400" b="1"/>
            <a:t>Salary:</a:t>
          </a:r>
        </a:p>
        <a:p>
          <a:endParaRPr lang="en-US" sz="2800"/>
        </a:p>
      </xdr:txBody>
    </xdr:sp>
    <xdr:clientData/>
  </xdr:twoCellAnchor>
  <xdr:twoCellAnchor>
    <xdr:from>
      <xdr:col>15</xdr:col>
      <xdr:colOff>375652</xdr:colOff>
      <xdr:row>15</xdr:row>
      <xdr:rowOff>74863</xdr:rowOff>
    </xdr:from>
    <xdr:to>
      <xdr:col>18</xdr:col>
      <xdr:colOff>304800</xdr:colOff>
      <xdr:row>19</xdr:row>
      <xdr:rowOff>108284</xdr:rowOff>
    </xdr:to>
    <xdr:sp macro="" textlink="">
      <xdr:nvSpPr>
        <xdr:cNvPr id="30" name="TextBox 29"/>
        <xdr:cNvSpPr txBox="1"/>
      </xdr:nvSpPr>
      <xdr:spPr>
        <a:xfrm>
          <a:off x="9519652" y="2932363"/>
          <a:ext cx="1757948" cy="79542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chemeClr val="dk1"/>
              </a:solidFill>
              <a:effectLst/>
              <a:latin typeface="+mn-lt"/>
              <a:ea typeface="+mn-ea"/>
              <a:cs typeface="+mn-cs"/>
            </a:rPr>
            <a:t>Lowest Salary:</a:t>
          </a:r>
          <a:r>
            <a:rPr lang="en-US" sz="2400" b="1"/>
            <a:t> </a:t>
          </a:r>
        </a:p>
      </xdr:txBody>
    </xdr:sp>
    <xdr:clientData/>
  </xdr:twoCellAnchor>
  <xdr:twoCellAnchor>
    <xdr:from>
      <xdr:col>15</xdr:col>
      <xdr:colOff>328391</xdr:colOff>
      <xdr:row>9</xdr:row>
      <xdr:rowOff>124983</xdr:rowOff>
    </xdr:from>
    <xdr:to>
      <xdr:col>18</xdr:col>
      <xdr:colOff>571501</xdr:colOff>
      <xdr:row>13</xdr:row>
      <xdr:rowOff>158404</xdr:rowOff>
    </xdr:to>
    <xdr:sp macro="" textlink="">
      <xdr:nvSpPr>
        <xdr:cNvPr id="31" name="TextBox 30"/>
        <xdr:cNvSpPr txBox="1"/>
      </xdr:nvSpPr>
      <xdr:spPr>
        <a:xfrm>
          <a:off x="9472391" y="1839483"/>
          <a:ext cx="2071910" cy="79542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chemeClr val="dk1"/>
              </a:solidFill>
              <a:effectLst/>
              <a:latin typeface="+mn-lt"/>
              <a:ea typeface="+mn-ea"/>
              <a:cs typeface="+mn-cs"/>
            </a:rPr>
            <a:t>Highest Salary:</a:t>
          </a:r>
          <a:r>
            <a:rPr lang="en-US" sz="2400" b="1"/>
            <a:t> </a:t>
          </a:r>
        </a:p>
      </xdr:txBody>
    </xdr:sp>
    <xdr:clientData/>
  </xdr:twoCellAnchor>
  <xdr:twoCellAnchor>
    <xdr:from>
      <xdr:col>8</xdr:col>
      <xdr:colOff>394137</xdr:colOff>
      <xdr:row>9</xdr:row>
      <xdr:rowOff>71394</xdr:rowOff>
    </xdr:from>
    <xdr:to>
      <xdr:col>11</xdr:col>
      <xdr:colOff>197068</xdr:colOff>
      <xdr:row>13</xdr:row>
      <xdr:rowOff>98533</xdr:rowOff>
    </xdr:to>
    <xdr:sp macro="" textlink="">
      <xdr:nvSpPr>
        <xdr:cNvPr id="32" name="TextBox 31"/>
        <xdr:cNvSpPr txBox="1"/>
      </xdr:nvSpPr>
      <xdr:spPr>
        <a:xfrm>
          <a:off x="5255171" y="1845015"/>
          <a:ext cx="1625819" cy="815415"/>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000"/>
            <a:t>30</a:t>
          </a:r>
        </a:p>
      </xdr:txBody>
    </xdr:sp>
    <xdr:clientData/>
  </xdr:twoCellAnchor>
  <xdr:twoCellAnchor>
    <xdr:from>
      <xdr:col>8</xdr:col>
      <xdr:colOff>422880</xdr:colOff>
      <xdr:row>21</xdr:row>
      <xdr:rowOff>75992</xdr:rowOff>
    </xdr:from>
    <xdr:to>
      <xdr:col>11</xdr:col>
      <xdr:colOff>82114</xdr:colOff>
      <xdr:row>24</xdr:row>
      <xdr:rowOff>180646</xdr:rowOff>
    </xdr:to>
    <xdr:sp macro="" textlink="">
      <xdr:nvSpPr>
        <xdr:cNvPr id="33" name="TextBox 32"/>
        <xdr:cNvSpPr txBox="1"/>
      </xdr:nvSpPr>
      <xdr:spPr>
        <a:xfrm>
          <a:off x="5283914" y="4214440"/>
          <a:ext cx="1482122" cy="69586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a:t>50</a:t>
          </a:r>
        </a:p>
      </xdr:txBody>
    </xdr:sp>
    <xdr:clientData/>
  </xdr:twoCellAnchor>
  <xdr:twoCellAnchor>
    <xdr:from>
      <xdr:col>18</xdr:col>
      <xdr:colOff>529166</xdr:colOff>
      <xdr:row>9</xdr:row>
      <xdr:rowOff>146281</xdr:rowOff>
    </xdr:from>
    <xdr:to>
      <xdr:col>21</xdr:col>
      <xdr:colOff>443404</xdr:colOff>
      <xdr:row>13</xdr:row>
      <xdr:rowOff>1</xdr:rowOff>
    </xdr:to>
    <xdr:sp macro="" textlink="">
      <xdr:nvSpPr>
        <xdr:cNvPr id="34" name="TextBox 33"/>
        <xdr:cNvSpPr txBox="1"/>
      </xdr:nvSpPr>
      <xdr:spPr>
        <a:xfrm>
          <a:off x="11482916" y="1813156"/>
          <a:ext cx="1739863" cy="594553"/>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0" i="0" u="none" strike="noStrike">
              <a:solidFill>
                <a:schemeClr val="dk1"/>
              </a:solidFill>
              <a:effectLst/>
              <a:latin typeface="+mn-lt"/>
              <a:ea typeface="+mn-ea"/>
              <a:cs typeface="+mn-cs"/>
            </a:rPr>
            <a:t>148862</a:t>
          </a:r>
          <a:r>
            <a:rPr lang="en-US" sz="2800"/>
            <a:t> </a:t>
          </a:r>
        </a:p>
      </xdr:txBody>
    </xdr:sp>
    <xdr:clientData/>
  </xdr:twoCellAnchor>
  <xdr:twoCellAnchor>
    <xdr:from>
      <xdr:col>8</xdr:col>
      <xdr:colOff>399229</xdr:colOff>
      <xdr:row>15</xdr:row>
      <xdr:rowOff>134457</xdr:rowOff>
    </xdr:from>
    <xdr:to>
      <xdr:col>12</xdr:col>
      <xdr:colOff>516202</xdr:colOff>
      <xdr:row>18</xdr:row>
      <xdr:rowOff>164225</xdr:rowOff>
    </xdr:to>
    <xdr:sp macro="" textlink="">
      <xdr:nvSpPr>
        <xdr:cNvPr id="35" name="TextBox 34"/>
        <xdr:cNvSpPr txBox="1"/>
      </xdr:nvSpPr>
      <xdr:spPr>
        <a:xfrm>
          <a:off x="5260263" y="3090491"/>
          <a:ext cx="2547491" cy="620975"/>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0" i="0" u="none" strike="noStrike">
              <a:solidFill>
                <a:schemeClr val="dk1"/>
              </a:solidFill>
              <a:effectLst/>
              <a:latin typeface="+mn-lt"/>
              <a:ea typeface="+mn-ea"/>
              <a:cs typeface="+mn-cs"/>
            </a:rPr>
            <a:t>91968.23</a:t>
          </a:r>
          <a:r>
            <a:rPr lang="en-US" sz="4400"/>
            <a:t> </a:t>
          </a:r>
        </a:p>
      </xdr:txBody>
    </xdr:sp>
    <xdr:clientData/>
  </xdr:twoCellAnchor>
  <xdr:twoCellAnchor>
    <xdr:from>
      <xdr:col>18</xdr:col>
      <xdr:colOff>584472</xdr:colOff>
      <xdr:row>15</xdr:row>
      <xdr:rowOff>59964</xdr:rowOff>
    </xdr:from>
    <xdr:to>
      <xdr:col>21</xdr:col>
      <xdr:colOff>582084</xdr:colOff>
      <xdr:row>18</xdr:row>
      <xdr:rowOff>175173</xdr:rowOff>
    </xdr:to>
    <xdr:sp macro="" textlink="">
      <xdr:nvSpPr>
        <xdr:cNvPr id="36" name="TextBox 35"/>
        <xdr:cNvSpPr txBox="1"/>
      </xdr:nvSpPr>
      <xdr:spPr>
        <a:xfrm>
          <a:off x="11538222" y="2838089"/>
          <a:ext cx="1823237" cy="670834"/>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0" i="0" u="none" strike="noStrike">
              <a:solidFill>
                <a:schemeClr val="dk1"/>
              </a:solidFill>
              <a:effectLst/>
              <a:latin typeface="+mn-lt"/>
              <a:ea typeface="+mn-ea"/>
              <a:cs typeface="+mn-cs"/>
            </a:rPr>
            <a:t>42178</a:t>
          </a:r>
          <a:r>
            <a:rPr lang="en-US" sz="4400"/>
            <a:t> </a:t>
          </a:r>
        </a:p>
      </xdr:txBody>
    </xdr:sp>
    <xdr:clientData/>
  </xdr:twoCellAnchor>
  <xdr:twoCellAnchor>
    <xdr:from>
      <xdr:col>18</xdr:col>
      <xdr:colOff>541591</xdr:colOff>
      <xdr:row>21</xdr:row>
      <xdr:rowOff>49928</xdr:rowOff>
    </xdr:from>
    <xdr:to>
      <xdr:col>22</xdr:col>
      <xdr:colOff>277812</xdr:colOff>
      <xdr:row>24</xdr:row>
      <xdr:rowOff>181559</xdr:rowOff>
    </xdr:to>
    <xdr:sp macro="" textlink="">
      <xdr:nvSpPr>
        <xdr:cNvPr id="37" name="TextBox 36"/>
        <xdr:cNvSpPr txBox="1"/>
      </xdr:nvSpPr>
      <xdr:spPr>
        <a:xfrm>
          <a:off x="11495341" y="3939303"/>
          <a:ext cx="2170388" cy="687256"/>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0" i="0" u="none" strike="noStrike">
              <a:solidFill>
                <a:schemeClr val="dk1"/>
              </a:solidFill>
              <a:effectLst/>
              <a:latin typeface="+mn-lt"/>
              <a:ea typeface="+mn-ea"/>
              <a:cs typeface="+mn-cs"/>
            </a:rPr>
            <a:t>156018</a:t>
          </a:r>
          <a:r>
            <a:rPr lang="en-US" sz="4400"/>
            <a:t> </a:t>
          </a:r>
        </a:p>
      </xdr:txBody>
    </xdr:sp>
    <xdr:clientData/>
  </xdr:twoCellAnchor>
  <xdr:twoCellAnchor>
    <xdr:from>
      <xdr:col>19</xdr:col>
      <xdr:colOff>532279</xdr:colOff>
      <xdr:row>27</xdr:row>
      <xdr:rowOff>160257</xdr:rowOff>
    </xdr:from>
    <xdr:to>
      <xdr:col>32</xdr:col>
      <xdr:colOff>392206</xdr:colOff>
      <xdr:row>50</xdr:row>
      <xdr:rowOff>66844</xdr:rowOff>
    </xdr:to>
    <xdr:sp macro="" textlink="">
      <xdr:nvSpPr>
        <xdr:cNvPr id="38" name="Rounded Rectangle 37"/>
        <xdr:cNvSpPr/>
      </xdr:nvSpPr>
      <xdr:spPr>
        <a:xfrm>
          <a:off x="11962279" y="5123283"/>
          <a:ext cx="7680453" cy="4134350"/>
        </a:xfrm>
        <a:prstGeom prst="roundRect">
          <a:avLst>
            <a:gd name="adj" fmla="val 2306"/>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60000"/>
                <a:lumOff val="40000"/>
              </a:schemeClr>
            </a:solidFill>
          </a:endParaRPr>
        </a:p>
      </xdr:txBody>
    </xdr:sp>
    <xdr:clientData/>
  </xdr:twoCellAnchor>
  <xdr:twoCellAnchor>
    <xdr:from>
      <xdr:col>5</xdr:col>
      <xdr:colOff>120139</xdr:colOff>
      <xdr:row>28</xdr:row>
      <xdr:rowOff>86589</xdr:rowOff>
    </xdr:from>
    <xdr:to>
      <xdr:col>19</xdr:col>
      <xdr:colOff>0</xdr:colOff>
      <xdr:row>49</xdr:row>
      <xdr:rowOff>173182</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0</xdr:colOff>
      <xdr:row>28</xdr:row>
      <xdr:rowOff>45356</xdr:rowOff>
    </xdr:from>
    <xdr:to>
      <xdr:col>32</xdr:col>
      <xdr:colOff>224118</xdr:colOff>
      <xdr:row>49</xdr:row>
      <xdr:rowOff>133683</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580702</xdr:colOff>
      <xdr:row>51</xdr:row>
      <xdr:rowOff>53518</xdr:rowOff>
    </xdr:from>
    <xdr:to>
      <xdr:col>17</xdr:col>
      <xdr:colOff>280147</xdr:colOff>
      <xdr:row>65</xdr:row>
      <xdr:rowOff>84045</xdr:rowOff>
    </xdr:to>
    <xdr:sp macro="" textlink="">
      <xdr:nvSpPr>
        <xdr:cNvPr id="41" name="Rounded Rectangle 40"/>
        <xdr:cNvSpPr/>
      </xdr:nvSpPr>
      <xdr:spPr>
        <a:xfrm>
          <a:off x="3020814" y="9878181"/>
          <a:ext cx="7629811" cy="2727493"/>
        </a:xfrm>
        <a:prstGeom prst="roundRect">
          <a:avLst>
            <a:gd name="adj" fmla="val 5164"/>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60000"/>
                <a:lumOff val="40000"/>
              </a:schemeClr>
            </a:solidFill>
          </a:endParaRPr>
        </a:p>
      </xdr:txBody>
    </xdr:sp>
    <xdr:clientData/>
  </xdr:twoCellAnchor>
  <xdr:twoCellAnchor>
    <xdr:from>
      <xdr:col>25</xdr:col>
      <xdr:colOff>88764</xdr:colOff>
      <xdr:row>51</xdr:row>
      <xdr:rowOff>65844</xdr:rowOff>
    </xdr:from>
    <xdr:to>
      <xdr:col>32</xdr:col>
      <xdr:colOff>392206</xdr:colOff>
      <xdr:row>65</xdr:row>
      <xdr:rowOff>62665</xdr:rowOff>
    </xdr:to>
    <xdr:sp macro="" textlink="">
      <xdr:nvSpPr>
        <xdr:cNvPr id="42" name="Rounded Rectangle 41"/>
        <xdr:cNvSpPr/>
      </xdr:nvSpPr>
      <xdr:spPr>
        <a:xfrm>
          <a:off x="15441560" y="9653508"/>
          <a:ext cx="4602225" cy="2628729"/>
        </a:xfrm>
        <a:prstGeom prst="roundRect">
          <a:avLst>
            <a:gd name="adj" fmla="val 3596"/>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60000"/>
                <a:lumOff val="40000"/>
              </a:schemeClr>
            </a:solidFill>
          </a:endParaRPr>
        </a:p>
      </xdr:txBody>
    </xdr:sp>
    <xdr:clientData/>
  </xdr:twoCellAnchor>
  <xdr:twoCellAnchor>
    <xdr:from>
      <xdr:col>5</xdr:col>
      <xdr:colOff>63265</xdr:colOff>
      <xdr:row>51</xdr:row>
      <xdr:rowOff>139187</xdr:rowOff>
    </xdr:from>
    <xdr:to>
      <xdr:col>17</xdr:col>
      <xdr:colOff>160533</xdr:colOff>
      <xdr:row>64</xdr:row>
      <xdr:rowOff>174996</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353223</xdr:colOff>
      <xdr:row>51</xdr:row>
      <xdr:rowOff>50156</xdr:rowOff>
    </xdr:from>
    <xdr:to>
      <xdr:col>25</xdr:col>
      <xdr:colOff>40342</xdr:colOff>
      <xdr:row>65</xdr:row>
      <xdr:rowOff>80683</xdr:rowOff>
    </xdr:to>
    <xdr:sp macro="" textlink="">
      <xdr:nvSpPr>
        <xdr:cNvPr id="44" name="Rounded Rectangle 43"/>
        <xdr:cNvSpPr/>
      </xdr:nvSpPr>
      <xdr:spPr>
        <a:xfrm>
          <a:off x="10723701" y="9874819"/>
          <a:ext cx="4567343" cy="2727493"/>
        </a:xfrm>
        <a:prstGeom prst="roundRect">
          <a:avLst>
            <a:gd name="adj" fmla="val 5164"/>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60000"/>
                <a:lumOff val="40000"/>
              </a:schemeClr>
            </a:solidFill>
          </a:endParaRPr>
        </a:p>
      </xdr:txBody>
    </xdr:sp>
    <xdr:clientData/>
  </xdr:twoCellAnchor>
  <xdr:twoCellAnchor>
    <xdr:from>
      <xdr:col>17</xdr:col>
      <xdr:colOff>428089</xdr:colOff>
      <xdr:row>51</xdr:row>
      <xdr:rowOff>113731</xdr:rowOff>
    </xdr:from>
    <xdr:to>
      <xdr:col>24</xdr:col>
      <xdr:colOff>556517</xdr:colOff>
      <xdr:row>65</xdr:row>
      <xdr:rowOff>7826</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156589</xdr:colOff>
      <xdr:row>51</xdr:row>
      <xdr:rowOff>137862</xdr:rowOff>
    </xdr:from>
    <xdr:to>
      <xdr:col>32</xdr:col>
      <xdr:colOff>263191</xdr:colOff>
      <xdr:row>64</xdr:row>
      <xdr:rowOff>162928</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101331</xdr:colOff>
      <xdr:row>15</xdr:row>
      <xdr:rowOff>20266</xdr:rowOff>
    </xdr:from>
    <xdr:to>
      <xdr:col>24</xdr:col>
      <xdr:colOff>2</xdr:colOff>
      <xdr:row>19</xdr:row>
      <xdr:rowOff>0</xdr:rowOff>
    </xdr:to>
    <xdr:pic>
      <xdr:nvPicPr>
        <xdr:cNvPr id="2" name="Picture 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476863" y="2756170"/>
          <a:ext cx="1114628" cy="709309"/>
        </a:xfrm>
        <a:prstGeom prst="rect">
          <a:avLst/>
        </a:prstGeom>
      </xdr:spPr>
    </xdr:pic>
    <xdr:clientData/>
  </xdr:twoCellAnchor>
  <xdr:twoCellAnchor editAs="oneCell">
    <xdr:from>
      <xdr:col>22</xdr:col>
      <xdr:colOff>132134</xdr:colOff>
      <xdr:row>21</xdr:row>
      <xdr:rowOff>30804</xdr:rowOff>
    </xdr:from>
    <xdr:to>
      <xdr:col>24</xdr:col>
      <xdr:colOff>30805</xdr:colOff>
      <xdr:row>25</xdr:row>
      <xdr:rowOff>10539</xdr:rowOff>
    </xdr:to>
    <xdr:pic>
      <xdr:nvPicPr>
        <xdr:cNvPr id="47" name="Picture 46"/>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507666" y="3861070"/>
          <a:ext cx="1114628" cy="709309"/>
        </a:xfrm>
        <a:prstGeom prst="rect">
          <a:avLst/>
        </a:prstGeom>
      </xdr:spPr>
    </xdr:pic>
    <xdr:clientData/>
  </xdr:twoCellAnchor>
  <xdr:twoCellAnchor editAs="oneCell">
    <xdr:from>
      <xdr:col>22</xdr:col>
      <xdr:colOff>102141</xdr:colOff>
      <xdr:row>10</xdr:row>
      <xdr:rowOff>21076</xdr:rowOff>
    </xdr:from>
    <xdr:to>
      <xdr:col>24</xdr:col>
      <xdr:colOff>812</xdr:colOff>
      <xdr:row>14</xdr:row>
      <xdr:rowOff>810</xdr:rowOff>
    </xdr:to>
    <xdr:pic>
      <xdr:nvPicPr>
        <xdr:cNvPr id="48" name="Picture 47"/>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477673" y="1845012"/>
          <a:ext cx="1114628" cy="709309"/>
        </a:xfrm>
        <a:prstGeom prst="rect">
          <a:avLst/>
        </a:prstGeom>
      </xdr:spPr>
    </xdr:pic>
    <xdr:clientData/>
  </xdr:twoCellAnchor>
  <xdr:twoCellAnchor editAs="oneCell">
    <xdr:from>
      <xdr:col>12</xdr:col>
      <xdr:colOff>315338</xdr:colOff>
      <xdr:row>15</xdr:row>
      <xdr:rowOff>112679</xdr:rowOff>
    </xdr:from>
    <xdr:to>
      <xdr:col>14</xdr:col>
      <xdr:colOff>214009</xdr:colOff>
      <xdr:row>19</xdr:row>
      <xdr:rowOff>92413</xdr:rowOff>
    </xdr:to>
    <xdr:pic>
      <xdr:nvPicPr>
        <xdr:cNvPr id="49" name="Picture 48"/>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611083" y="2848583"/>
          <a:ext cx="1114628" cy="709309"/>
        </a:xfrm>
        <a:prstGeom prst="rect">
          <a:avLst/>
        </a:prstGeom>
      </xdr:spPr>
    </xdr:pic>
    <xdr:clientData/>
  </xdr:twoCellAnchor>
  <xdr:twoCellAnchor editAs="oneCell">
    <xdr:from>
      <xdr:col>0</xdr:col>
      <xdr:colOff>198438</xdr:colOff>
      <xdr:row>1</xdr:row>
      <xdr:rowOff>-1</xdr:rowOff>
    </xdr:from>
    <xdr:to>
      <xdr:col>8</xdr:col>
      <xdr:colOff>151471</xdr:colOff>
      <xdr:row>5</xdr:row>
      <xdr:rowOff>158882</xdr:rowOff>
    </xdr:to>
    <xdr:pic>
      <xdr:nvPicPr>
        <xdr:cNvPr id="4" name="Picture 3"/>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98438" y="198437"/>
          <a:ext cx="4715533" cy="9526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44.800132870369" createdVersion="5" refreshedVersion="5" minRefreshableVersion="3" recordCount="50">
  <cacheSource type="worksheet">
    <worksheetSource ref="A1:M51" sheet="Sales data cleaning"/>
  </cacheSource>
  <cacheFields count="13">
    <cacheField name="Order ID" numFmtId="0">
      <sharedItems/>
    </cacheField>
    <cacheField name="Customer Name" numFmtId="0">
      <sharedItems/>
    </cacheField>
    <cacheField name="Product" numFmtId="0">
      <sharedItems count="8">
        <s v="Laptop"/>
        <s v="USB Cable"/>
        <s v="Keyboard"/>
        <s v="Monitor"/>
        <s v="Webcam"/>
        <s v="Desk Lamp"/>
        <s v="Headphones"/>
        <s v="Mouse"/>
      </sharedItems>
    </cacheField>
    <cacheField name="Category" numFmtId="0">
      <sharedItems count="3">
        <s v="Peripherals"/>
        <s v="Accessories"/>
        <s v="Electronics"/>
      </sharedItems>
    </cacheField>
    <cacheField name="Quantity" numFmtId="0">
      <sharedItems containsSemiMixedTypes="0" containsString="0" containsNumber="1" containsInteger="1" minValue="1" maxValue="20"/>
    </cacheField>
    <cacheField name="Unit Price" numFmtId="164">
      <sharedItems containsSemiMixedTypes="0" containsString="0" containsNumber="1" minValue="17.43" maxValue="489.55"/>
    </cacheField>
    <cacheField name="Sale Date" numFmtId="165">
      <sharedItems/>
    </cacheField>
    <cacheField name="Region" numFmtId="0">
      <sharedItems count="4">
        <s v="North"/>
        <s v="West"/>
        <s v="South"/>
        <s v="East"/>
      </sharedItems>
    </cacheField>
    <cacheField name="Total Sales " numFmtId="164">
      <sharedItems containsSemiMixedTypes="0" containsString="0" containsNumber="1" minValue="130.96" maxValue="9504.2000000000007" count="50">
        <n v="5013.9799999999996"/>
        <n v="7838.6"/>
        <n v="3235.96"/>
        <n v="3731.5"/>
        <n v="6313.44"/>
        <n v="2685.04"/>
        <n v="6209.6"/>
        <n v="1864.09"/>
        <n v="4814.7"/>
        <n v="1069.76"/>
        <n v="331.17"/>
        <n v="4292.96"/>
        <n v="4749.6000000000004"/>
        <n v="1229.82"/>
        <n v="3359.52"/>
        <n v="3770.2"/>
        <n v="979.1"/>
        <n v="1189.29"/>
        <n v="2967.18"/>
        <n v="831.02"/>
        <n v="4719.54"/>
        <n v="205.2"/>
        <n v="526.89"/>
        <n v="3688.16"/>
        <n v="5498.72"/>
        <n v="481.35"/>
        <n v="206.03"/>
        <n v="490.22"/>
        <n v="6787.37"/>
        <n v="4331.79"/>
        <n v="2178.16"/>
        <n v="2457.1799999999998"/>
        <n v="181.09"/>
        <n v="5326.46"/>
        <n v="472.04"/>
        <n v="4367.74"/>
        <n v="1172.1500000000001"/>
        <n v="7021.68"/>
        <n v="922.42"/>
        <n v="163.97"/>
        <n v="4077.36"/>
        <n v="623.74"/>
        <n v="7098.02"/>
        <n v="3029.94"/>
        <n v="6675.9"/>
        <n v="130.96"/>
        <n v="682.38"/>
        <n v="1296.3"/>
        <n v="9504.2000000000007"/>
        <n v="5224.96"/>
      </sharedItems>
    </cacheField>
    <cacheField name="Product Performance" numFmtId="0">
      <sharedItems/>
    </cacheField>
    <cacheField name="DAY" numFmtId="0">
      <sharedItems containsSemiMixedTypes="0" containsString="0" containsNumber="1" containsInteger="1" minValue="1" maxValue="31" count="24">
        <n v="5"/>
        <n v="16"/>
        <n v="17"/>
        <n v="1"/>
        <n v="13"/>
        <n v="30"/>
        <n v="4"/>
        <n v="23"/>
        <n v="20"/>
        <n v="19"/>
        <n v="18"/>
        <n v="12"/>
        <n v="15"/>
        <n v="10"/>
        <n v="14"/>
        <n v="22"/>
        <n v="31"/>
        <n v="11"/>
        <n v="8"/>
        <n v="6"/>
        <n v="2"/>
        <n v="3"/>
        <n v="27"/>
        <n v="25"/>
      </sharedItems>
    </cacheField>
    <cacheField name="MONTH" numFmtId="0">
      <sharedItems count="3">
        <s v="March"/>
        <s v="February"/>
        <s v="January"/>
      </sharedItems>
    </cacheField>
    <cacheField name="YEAR" numFmtId="0">
      <sharedItems containsSemiMixedTypes="0" containsString="0" containsNumber="1" containsInteger="1" minValue="2024" maxValue="2024" count="1">
        <n v="202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s v="ORD1001"/>
    <s v="Data Systems"/>
    <x v="0"/>
    <x v="0"/>
    <n v="17"/>
    <n v="294.94"/>
    <s v="03/05/2024"/>
    <x v="0"/>
    <x v="0"/>
    <s v="GOOD"/>
    <x v="0"/>
    <x v="0"/>
    <x v="0"/>
  </r>
  <r>
    <s v="ORD1002"/>
    <s v="Digital Solutions"/>
    <x v="1"/>
    <x v="0"/>
    <n v="20"/>
    <n v="391.93"/>
    <s v="02/16/2024"/>
    <x v="1"/>
    <x v="1"/>
    <s v="GOOD"/>
    <x v="1"/>
    <x v="1"/>
    <x v="0"/>
  </r>
  <r>
    <s v="ORD1003"/>
    <s v="Cloud Nine"/>
    <x v="2"/>
    <x v="0"/>
    <n v="13"/>
    <n v="248.92"/>
    <s v="03/17/2024"/>
    <x v="2"/>
    <x v="2"/>
    <s v="NORMAL"/>
    <x v="2"/>
    <x v="0"/>
    <x v="0"/>
  </r>
  <r>
    <s v="ORD1004"/>
    <s v="Data Systems"/>
    <x v="3"/>
    <x v="1"/>
    <n v="10"/>
    <n v="373.15"/>
    <s v="01/01/2024"/>
    <x v="3"/>
    <x v="3"/>
    <s v="NORMAL"/>
    <x v="3"/>
    <x v="2"/>
    <x v="0"/>
  </r>
  <r>
    <s v="ORD1005"/>
    <s v="Cloud Nine"/>
    <x v="4"/>
    <x v="1"/>
    <n v="16"/>
    <n v="394.59"/>
    <s v="02/13/2024"/>
    <x v="2"/>
    <x v="4"/>
    <s v="GOOD"/>
    <x v="4"/>
    <x v="1"/>
    <x v="0"/>
  </r>
  <r>
    <s v="ORD1006"/>
    <s v="Global Industries"/>
    <x v="5"/>
    <x v="1"/>
    <n v="8"/>
    <n v="335.63"/>
    <s v="03/30/2024"/>
    <x v="2"/>
    <x v="5"/>
    <s v="NORMAL"/>
    <x v="5"/>
    <x v="0"/>
    <x v="0"/>
  </r>
  <r>
    <s v="ORD1007"/>
    <s v="Smart Tech"/>
    <x v="0"/>
    <x v="0"/>
    <n v="16"/>
    <n v="388.1"/>
    <s v="03/04/2024"/>
    <x v="1"/>
    <x v="6"/>
    <s v="GOOD"/>
    <x v="6"/>
    <x v="0"/>
    <x v="0"/>
  </r>
  <r>
    <s v="ORD1008"/>
    <s v="Digital Solutions"/>
    <x v="3"/>
    <x v="0"/>
    <n v="19"/>
    <n v="98.11"/>
    <s v="01/23/2024"/>
    <x v="2"/>
    <x v="7"/>
    <s v="NORMAL"/>
    <x v="7"/>
    <x v="2"/>
    <x v="0"/>
  </r>
  <r>
    <s v="ORD1009"/>
    <s v="Data Systems"/>
    <x v="3"/>
    <x v="2"/>
    <n v="11"/>
    <n v="437.7"/>
    <s v="02/20/2024"/>
    <x v="0"/>
    <x v="8"/>
    <s v="NORMAL"/>
    <x v="8"/>
    <x v="1"/>
    <x v="0"/>
  </r>
  <r>
    <s v="ORD1010"/>
    <s v="Cloud Nine"/>
    <x v="5"/>
    <x v="0"/>
    <n v="16"/>
    <n v="66.86"/>
    <s v="02/01/2024"/>
    <x v="3"/>
    <x v="9"/>
    <s v="NORMAL"/>
    <x v="3"/>
    <x v="1"/>
    <x v="0"/>
  </r>
  <r>
    <s v="ORD1011"/>
    <s v="Acme Corp"/>
    <x v="5"/>
    <x v="2"/>
    <n v="19"/>
    <n v="17.43"/>
    <s v="03/19/2024"/>
    <x v="3"/>
    <x v="10"/>
    <s v="NORMAL"/>
    <x v="9"/>
    <x v="0"/>
    <x v="0"/>
  </r>
  <r>
    <s v="ORD1012"/>
    <s v="Data Systems"/>
    <x v="4"/>
    <x v="2"/>
    <n v="16"/>
    <n v="268.31"/>
    <s v="03/30/2024"/>
    <x v="0"/>
    <x v="11"/>
    <s v="NORMAL"/>
    <x v="5"/>
    <x v="0"/>
    <x v="0"/>
  </r>
  <r>
    <s v="ORD1013"/>
    <s v="Smart Tech"/>
    <x v="5"/>
    <x v="1"/>
    <n v="16"/>
    <n v="296.85000000000002"/>
    <s v="01/18/2024"/>
    <x v="3"/>
    <x v="12"/>
    <s v="NORMAL"/>
    <x v="10"/>
    <x v="2"/>
    <x v="0"/>
  </r>
  <r>
    <s v="ORD1014"/>
    <s v="Digital Solutions"/>
    <x v="2"/>
    <x v="0"/>
    <n v="6"/>
    <n v="204.97"/>
    <s v="02/12/2024"/>
    <x v="3"/>
    <x v="13"/>
    <s v="NORMAL"/>
    <x v="11"/>
    <x v="1"/>
    <x v="0"/>
  </r>
  <r>
    <s v="ORD1015"/>
    <s v="Data Systems"/>
    <x v="0"/>
    <x v="0"/>
    <n v="18"/>
    <n v="186.64"/>
    <s v="01/15/2024"/>
    <x v="2"/>
    <x v="14"/>
    <s v="NORMAL"/>
    <x v="12"/>
    <x v="2"/>
    <x v="0"/>
  </r>
  <r>
    <s v="ORD1016"/>
    <s v="Digital Solutions"/>
    <x v="6"/>
    <x v="2"/>
    <n v="20"/>
    <n v="188.51"/>
    <s v="03/10/2024"/>
    <x v="3"/>
    <x v="15"/>
    <s v="NORMAL"/>
    <x v="13"/>
    <x v="0"/>
    <x v="0"/>
  </r>
  <r>
    <s v="ORD1017"/>
    <s v="Data Systems"/>
    <x v="6"/>
    <x v="0"/>
    <n v="2"/>
    <n v="489.55"/>
    <s v="02/14/2024"/>
    <x v="0"/>
    <x v="16"/>
    <s v="NORMAL"/>
    <x v="14"/>
    <x v="1"/>
    <x v="0"/>
  </r>
  <r>
    <s v="ORD1018"/>
    <s v="Digital Solutions"/>
    <x v="4"/>
    <x v="1"/>
    <n v="3"/>
    <n v="396.43"/>
    <s v="02/22/2024"/>
    <x v="1"/>
    <x v="17"/>
    <s v="NORMAL"/>
    <x v="15"/>
    <x v="1"/>
    <x v="0"/>
  </r>
  <r>
    <s v="ORD1019"/>
    <s v="Data Systems"/>
    <x v="3"/>
    <x v="2"/>
    <n v="17"/>
    <n v="174.54"/>
    <s v="01/14/2024"/>
    <x v="3"/>
    <x v="18"/>
    <s v="NORMAL"/>
    <x v="14"/>
    <x v="2"/>
    <x v="0"/>
  </r>
  <r>
    <s v="ORD1020"/>
    <s v="Cloud Nine"/>
    <x v="3"/>
    <x v="1"/>
    <n v="2"/>
    <n v="415.51"/>
    <s v="01/31/2024"/>
    <x v="0"/>
    <x v="19"/>
    <s v="NORMAL"/>
    <x v="16"/>
    <x v="2"/>
    <x v="0"/>
  </r>
  <r>
    <s v="ORD1021"/>
    <s v="Digital Solutions"/>
    <x v="7"/>
    <x v="0"/>
    <n v="14"/>
    <n v="337.11"/>
    <s v="02/11/2024"/>
    <x v="3"/>
    <x v="20"/>
    <s v="NORMAL"/>
    <x v="17"/>
    <x v="1"/>
    <x v="0"/>
  </r>
  <r>
    <s v="ORD1022"/>
    <s v="Digital Solutions"/>
    <x v="6"/>
    <x v="0"/>
    <n v="2"/>
    <n v="102.6"/>
    <s v="01/08/2024"/>
    <x v="3"/>
    <x v="21"/>
    <s v="NORMAL"/>
    <x v="18"/>
    <x v="2"/>
    <x v="0"/>
  </r>
  <r>
    <s v="ORD1023"/>
    <s v="Data Systems"/>
    <x v="1"/>
    <x v="1"/>
    <n v="7"/>
    <n v="75.27"/>
    <s v="01/06/2024"/>
    <x v="2"/>
    <x v="22"/>
    <s v="NORMAL"/>
    <x v="19"/>
    <x v="2"/>
    <x v="0"/>
  </r>
  <r>
    <s v="ORD1024"/>
    <s v="Cloud Nine"/>
    <x v="0"/>
    <x v="0"/>
    <n v="16"/>
    <n v="230.51"/>
    <s v="03/02/2024"/>
    <x v="0"/>
    <x v="23"/>
    <s v="NORMAL"/>
    <x v="20"/>
    <x v="0"/>
    <x v="0"/>
  </r>
  <r>
    <s v="ORD1025"/>
    <s v="Digital Solutions"/>
    <x v="0"/>
    <x v="0"/>
    <n v="16"/>
    <n v="343.67"/>
    <s v="02/03/2024"/>
    <x v="3"/>
    <x v="24"/>
    <s v="GOOD"/>
    <x v="21"/>
    <x v="1"/>
    <x v="0"/>
  </r>
  <r>
    <s v="ORD1026"/>
    <s v="Global Industries"/>
    <x v="5"/>
    <x v="2"/>
    <n v="5"/>
    <n v="96.27"/>
    <s v="02/10/2024"/>
    <x v="2"/>
    <x v="25"/>
    <s v="NORMAL"/>
    <x v="13"/>
    <x v="1"/>
    <x v="0"/>
  </r>
  <r>
    <s v="ORD1027"/>
    <s v="TechStart"/>
    <x v="0"/>
    <x v="2"/>
    <n v="11"/>
    <n v="18.73"/>
    <s v="03/27/2024"/>
    <x v="2"/>
    <x v="26"/>
    <s v="NORMAL"/>
    <x v="22"/>
    <x v="0"/>
    <x v="0"/>
  </r>
  <r>
    <s v="ORD1028"/>
    <s v="Acme Corp"/>
    <x v="6"/>
    <x v="1"/>
    <n v="2"/>
    <n v="245.11"/>
    <s v="01/10/2024"/>
    <x v="0"/>
    <x v="27"/>
    <s v="NORMAL"/>
    <x v="13"/>
    <x v="2"/>
    <x v="0"/>
  </r>
  <r>
    <s v="ORD1029"/>
    <s v="TechStart"/>
    <x v="6"/>
    <x v="1"/>
    <n v="19"/>
    <n v="357.23"/>
    <s v="03/23/2024"/>
    <x v="3"/>
    <x v="28"/>
    <s v="GOOD"/>
    <x v="7"/>
    <x v="0"/>
    <x v="0"/>
  </r>
  <r>
    <s v="ORD1030"/>
    <s v="Cloud Nine"/>
    <x v="7"/>
    <x v="1"/>
    <n v="9"/>
    <n v="481.31"/>
    <s v="01/27/2024"/>
    <x v="3"/>
    <x v="29"/>
    <s v="NORMAL"/>
    <x v="22"/>
    <x v="2"/>
    <x v="0"/>
  </r>
  <r>
    <s v="ORD1031"/>
    <s v="Digital Solutions"/>
    <x v="6"/>
    <x v="0"/>
    <n v="19"/>
    <n v="114.64"/>
    <s v="03/16/2024"/>
    <x v="0"/>
    <x v="30"/>
    <s v="NORMAL"/>
    <x v="1"/>
    <x v="0"/>
    <x v="0"/>
  </r>
  <r>
    <s v="ORD1032"/>
    <s v="TechStart"/>
    <x v="2"/>
    <x v="0"/>
    <n v="9"/>
    <n v="273.02"/>
    <s v="03/23/2024"/>
    <x v="1"/>
    <x v="31"/>
    <s v="NORMAL"/>
    <x v="7"/>
    <x v="0"/>
    <x v="0"/>
  </r>
  <r>
    <s v="ORD1033"/>
    <s v="Data Systems"/>
    <x v="7"/>
    <x v="0"/>
    <n v="7"/>
    <n v="25.87"/>
    <s v="01/20/2024"/>
    <x v="3"/>
    <x v="32"/>
    <s v="NORMAL"/>
    <x v="8"/>
    <x v="2"/>
    <x v="0"/>
  </r>
  <r>
    <s v="ORD1034"/>
    <s v="Cloud Nine"/>
    <x v="0"/>
    <x v="2"/>
    <n v="19"/>
    <n v="280.33999999999997"/>
    <s v="02/17/2024"/>
    <x v="1"/>
    <x v="33"/>
    <s v="GOOD"/>
    <x v="2"/>
    <x v="1"/>
    <x v="0"/>
  </r>
  <r>
    <s v="ORD1035"/>
    <s v="Global Industries"/>
    <x v="1"/>
    <x v="2"/>
    <n v="4"/>
    <n v="118.01"/>
    <s v="01/19/2024"/>
    <x v="0"/>
    <x v="34"/>
    <s v="NORMAL"/>
    <x v="9"/>
    <x v="2"/>
    <x v="0"/>
  </r>
  <r>
    <s v="ORD1036"/>
    <s v="Global Industries"/>
    <x v="4"/>
    <x v="0"/>
    <n v="13"/>
    <n v="335.98"/>
    <s v="01/25/2024"/>
    <x v="0"/>
    <x v="35"/>
    <s v="NORMAL"/>
    <x v="23"/>
    <x v="2"/>
    <x v="0"/>
  </r>
  <r>
    <s v="ORD1037"/>
    <s v="Data Systems"/>
    <x v="5"/>
    <x v="0"/>
    <n v="17"/>
    <n v="68.95"/>
    <s v="01/01/2024"/>
    <x v="1"/>
    <x v="36"/>
    <s v="NORMAL"/>
    <x v="3"/>
    <x v="2"/>
    <x v="0"/>
  </r>
  <r>
    <s v="ORD1038"/>
    <s v="Data Systems"/>
    <x v="4"/>
    <x v="1"/>
    <n v="17"/>
    <n v="413.04"/>
    <s v="03/01/2024"/>
    <x v="0"/>
    <x v="37"/>
    <s v="GOOD"/>
    <x v="3"/>
    <x v="0"/>
    <x v="0"/>
  </r>
  <r>
    <s v="ORD1039"/>
    <s v="Smart Tech"/>
    <x v="2"/>
    <x v="0"/>
    <n v="17"/>
    <n v="54.26"/>
    <s v="02/18/2024"/>
    <x v="2"/>
    <x v="38"/>
    <s v="NORMAL"/>
    <x v="10"/>
    <x v="1"/>
    <x v="0"/>
  </r>
  <r>
    <s v="ORD1040"/>
    <s v="Digital Solutions"/>
    <x v="0"/>
    <x v="1"/>
    <n v="1"/>
    <n v="163.97"/>
    <s v="02/20/2024"/>
    <x v="3"/>
    <x v="39"/>
    <s v="NORMAL"/>
    <x v="8"/>
    <x v="1"/>
    <x v="0"/>
  </r>
  <r>
    <s v="ORD1041"/>
    <s v="Global Industries"/>
    <x v="0"/>
    <x v="2"/>
    <n v="18"/>
    <n v="226.52"/>
    <s v="01/15/2024"/>
    <x v="1"/>
    <x v="40"/>
    <s v="NORMAL"/>
    <x v="12"/>
    <x v="2"/>
    <x v="0"/>
  </r>
  <r>
    <s v="ORD1042"/>
    <s v="Smart Tech"/>
    <x v="7"/>
    <x v="1"/>
    <n v="2"/>
    <n v="311.87"/>
    <s v="02/10/2024"/>
    <x v="2"/>
    <x v="41"/>
    <s v="NORMAL"/>
    <x v="13"/>
    <x v="1"/>
    <x v="0"/>
  </r>
  <r>
    <s v="ORD1043"/>
    <s v="Digital Solutions"/>
    <x v="7"/>
    <x v="1"/>
    <n v="19"/>
    <n v="373.58"/>
    <s v="03/15/2024"/>
    <x v="1"/>
    <x v="42"/>
    <s v="GOOD"/>
    <x v="12"/>
    <x v="0"/>
    <x v="0"/>
  </r>
  <r>
    <s v="ORD1044"/>
    <s v="Smart Tech"/>
    <x v="7"/>
    <x v="0"/>
    <n v="9"/>
    <n v="336.66"/>
    <s v="01/03/2024"/>
    <x v="2"/>
    <x v="43"/>
    <s v="NORMAL"/>
    <x v="21"/>
    <x v="2"/>
    <x v="0"/>
  </r>
  <r>
    <s v="ORD1045"/>
    <s v="Data Systems"/>
    <x v="7"/>
    <x v="2"/>
    <n v="17"/>
    <n v="392.7"/>
    <s v="01/11/2024"/>
    <x v="0"/>
    <x v="44"/>
    <s v="GOOD"/>
    <x v="17"/>
    <x v="2"/>
    <x v="0"/>
  </r>
  <r>
    <s v="ORD1046"/>
    <s v="TechStart"/>
    <x v="2"/>
    <x v="0"/>
    <n v="1"/>
    <n v="130.96"/>
    <s v="03/06/2024"/>
    <x v="3"/>
    <x v="45"/>
    <s v="NORMAL"/>
    <x v="19"/>
    <x v="0"/>
    <x v="0"/>
  </r>
  <r>
    <s v="ORD1047"/>
    <s v="Digital Solutions"/>
    <x v="7"/>
    <x v="1"/>
    <n v="3"/>
    <n v="227.46"/>
    <s v="03/10/2024"/>
    <x v="2"/>
    <x v="46"/>
    <s v="NORMAL"/>
    <x v="13"/>
    <x v="0"/>
    <x v="0"/>
  </r>
  <r>
    <s v="ORD1048"/>
    <s v="Acme Corp"/>
    <x v="1"/>
    <x v="0"/>
    <n v="5"/>
    <n v="259.26"/>
    <s v="03/13/2024"/>
    <x v="3"/>
    <x v="47"/>
    <s v="NORMAL"/>
    <x v="4"/>
    <x v="0"/>
    <x v="0"/>
  </r>
  <r>
    <s v="ORD1049"/>
    <s v="Acme Corp"/>
    <x v="1"/>
    <x v="1"/>
    <n v="20"/>
    <n v="475.21"/>
    <s v="03/13/2024"/>
    <x v="0"/>
    <x v="48"/>
    <s v="GOOD"/>
    <x v="4"/>
    <x v="0"/>
    <x v="0"/>
  </r>
  <r>
    <s v="ORD1050"/>
    <s v="Digital Solutions"/>
    <x v="6"/>
    <x v="2"/>
    <n v="13"/>
    <n v="401.92"/>
    <s v="01/27/2024"/>
    <x v="3"/>
    <x v="49"/>
    <s v="GOOD"/>
    <x v="2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1">
  <location ref="X3:Y7" firstHeaderRow="1" firstDataRow="1" firstDataCol="1"/>
  <pivotFields count="13">
    <pivotField showAll="0"/>
    <pivotField showAll="0"/>
    <pivotField showAll="0">
      <items count="9">
        <item x="5"/>
        <item x="6"/>
        <item x="2"/>
        <item x="0"/>
        <item x="3"/>
        <item x="7"/>
        <item x="1"/>
        <item x="4"/>
        <item t="default"/>
      </items>
    </pivotField>
    <pivotField showAll="0" defaultSubtotal="0">
      <items count="3">
        <item h="1" x="1"/>
        <item x="2"/>
        <item h="1" x="0"/>
      </items>
    </pivotField>
    <pivotField showAll="0"/>
    <pivotField numFmtId="164" showAll="0"/>
    <pivotField showAll="0"/>
    <pivotField axis="axisRow" showAll="0">
      <items count="5">
        <item x="3"/>
        <item x="0"/>
        <item x="2"/>
        <item x="1"/>
        <item t="default"/>
      </items>
    </pivotField>
    <pivotField dataField="1" numFmtId="164" showAll="0"/>
    <pivotField showAll="0"/>
    <pivotField showAll="0">
      <items count="25">
        <item x="3"/>
        <item x="20"/>
        <item x="21"/>
        <item x="6"/>
        <item x="0"/>
        <item x="19"/>
        <item x="18"/>
        <item x="13"/>
        <item x="17"/>
        <item x="11"/>
        <item x="4"/>
        <item x="14"/>
        <item x="12"/>
        <item x="1"/>
        <item x="2"/>
        <item x="10"/>
        <item x="9"/>
        <item x="8"/>
        <item x="15"/>
        <item x="7"/>
        <item x="23"/>
        <item x="22"/>
        <item x="5"/>
        <item x="16"/>
        <item t="default"/>
      </items>
    </pivotField>
    <pivotField showAll="0">
      <items count="4">
        <item x="2"/>
        <item x="1"/>
        <item x="0"/>
        <item t="default"/>
      </items>
    </pivotField>
    <pivotField showAll="0">
      <items count="2">
        <item x="0"/>
        <item t="default"/>
      </items>
    </pivotField>
  </pivotFields>
  <rowFields count="1">
    <field x="7"/>
  </rowFields>
  <rowItems count="4">
    <i>
      <x/>
    </i>
    <i>
      <x v="1"/>
    </i>
    <i>
      <x v="2"/>
    </i>
    <i>
      <x v="3"/>
    </i>
  </rowItems>
  <colItems count="1">
    <i/>
  </colItems>
  <dataFields count="1">
    <dataField name="Sum of Total Sales " fld="8" baseField="0" baseItem="0"/>
  </dataFields>
  <chartFormats count="16">
    <chartFormat chart="8" format="0"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7" count="1" selected="0">
            <x v="0"/>
          </reference>
        </references>
      </pivotArea>
    </chartFormat>
    <chartFormat chart="8" format="6">
      <pivotArea type="data" outline="0" fieldPosition="0">
        <references count="2">
          <reference field="4294967294" count="1" selected="0">
            <x v="0"/>
          </reference>
          <reference field="7" count="1" selected="0">
            <x v="1"/>
          </reference>
        </references>
      </pivotArea>
    </chartFormat>
    <chartFormat chart="8" format="7">
      <pivotArea type="data" outline="0" fieldPosition="0">
        <references count="2">
          <reference field="4294967294" count="1" selected="0">
            <x v="0"/>
          </reference>
          <reference field="7" count="1" selected="0">
            <x v="2"/>
          </reference>
        </references>
      </pivotArea>
    </chartFormat>
    <chartFormat chart="8" format="8">
      <pivotArea type="data" outline="0" fieldPosition="0">
        <references count="2">
          <reference field="4294967294" count="1" selected="0">
            <x v="0"/>
          </reference>
          <reference field="7" count="1" selected="0">
            <x v="3"/>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7" count="1" selected="0">
            <x v="0"/>
          </reference>
        </references>
      </pivotArea>
    </chartFormat>
    <chartFormat chart="9" format="11">
      <pivotArea type="data" outline="0" fieldPosition="0">
        <references count="2">
          <reference field="4294967294" count="1" selected="0">
            <x v="0"/>
          </reference>
          <reference field="7" count="1" selected="0">
            <x v="1"/>
          </reference>
        </references>
      </pivotArea>
    </chartFormat>
    <chartFormat chart="9" format="12">
      <pivotArea type="data" outline="0" fieldPosition="0">
        <references count="2">
          <reference field="4294967294" count="1" selected="0">
            <x v="0"/>
          </reference>
          <reference field="7" count="1" selected="0">
            <x v="2"/>
          </reference>
        </references>
      </pivotArea>
    </chartFormat>
    <chartFormat chart="9" format="13">
      <pivotArea type="data" outline="0" fieldPosition="0">
        <references count="2">
          <reference field="4294967294" count="1" selected="0">
            <x v="0"/>
          </reference>
          <reference field="7" count="1" selected="0">
            <x v="3"/>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7" count="1" selected="0">
            <x v="0"/>
          </reference>
        </references>
      </pivotArea>
    </chartFormat>
    <chartFormat chart="10" format="16">
      <pivotArea type="data" outline="0" fieldPosition="0">
        <references count="2">
          <reference field="4294967294" count="1" selected="0">
            <x v="0"/>
          </reference>
          <reference field="7" count="1" selected="0">
            <x v="1"/>
          </reference>
        </references>
      </pivotArea>
    </chartFormat>
    <chartFormat chart="10" format="17">
      <pivotArea type="data" outline="0" fieldPosition="0">
        <references count="2">
          <reference field="4294967294" count="1" selected="0">
            <x v="0"/>
          </reference>
          <reference field="7" count="1" selected="0">
            <x v="2"/>
          </reference>
        </references>
      </pivotArea>
    </chartFormat>
    <chartFormat chart="10" format="18">
      <pivotArea type="data" outline="0" fieldPosition="0">
        <references count="2">
          <reference field="4294967294" count="1" selected="0">
            <x v="0"/>
          </reference>
          <reference field="7" count="1" selected="0">
            <x v="3"/>
          </reference>
        </references>
      </pivotArea>
    </chartFormat>
    <chartFormat chart="10" format="1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1">
  <location ref="U3:V4" firstHeaderRow="1" firstDataRow="1" firstDataCol="1"/>
  <pivotFields count="13">
    <pivotField showAll="0"/>
    <pivotField showAll="0"/>
    <pivotField showAll="0">
      <items count="9">
        <item x="5"/>
        <item x="6"/>
        <item x="2"/>
        <item x="0"/>
        <item x="3"/>
        <item x="7"/>
        <item x="1"/>
        <item x="4"/>
        <item t="default"/>
      </items>
    </pivotField>
    <pivotField axis="axisRow" showAll="0" defaultSubtotal="0">
      <items count="3">
        <item h="1" x="1"/>
        <item x="2"/>
        <item h="1" x="0"/>
      </items>
    </pivotField>
    <pivotField showAll="0"/>
    <pivotField numFmtId="164" showAll="0"/>
    <pivotField showAll="0"/>
    <pivotField showAll="0">
      <items count="5">
        <item x="3"/>
        <item x="0"/>
        <item x="2"/>
        <item x="1"/>
        <item t="default"/>
      </items>
    </pivotField>
    <pivotField dataField="1" numFmtId="164" showAll="0"/>
    <pivotField showAll="0"/>
    <pivotField showAll="0">
      <items count="25">
        <item x="3"/>
        <item x="20"/>
        <item x="21"/>
        <item x="6"/>
        <item x="0"/>
        <item x="19"/>
        <item x="18"/>
        <item x="13"/>
        <item x="17"/>
        <item x="11"/>
        <item x="4"/>
        <item x="14"/>
        <item x="12"/>
        <item x="1"/>
        <item x="2"/>
        <item x="10"/>
        <item x="9"/>
        <item x="8"/>
        <item x="15"/>
        <item x="7"/>
        <item x="23"/>
        <item x="22"/>
        <item x="5"/>
        <item x="16"/>
        <item t="default"/>
      </items>
    </pivotField>
    <pivotField showAll="0">
      <items count="4">
        <item x="2"/>
        <item x="1"/>
        <item x="0"/>
        <item t="default"/>
      </items>
    </pivotField>
    <pivotField showAll="0">
      <items count="2">
        <item x="0"/>
        <item t="default"/>
      </items>
    </pivotField>
  </pivotFields>
  <rowFields count="1">
    <field x="3"/>
  </rowFields>
  <rowItems count="1">
    <i>
      <x v="1"/>
    </i>
  </rowItems>
  <colItems count="1">
    <i/>
  </colItems>
  <dataFields count="1">
    <dataField name="Sum of Total Sales " fld="8"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location ref="P3:R10" firstHeaderRow="0" firstDataRow="1" firstDataCol="1"/>
  <pivotFields count="13">
    <pivotField showAll="0"/>
    <pivotField showAll="0"/>
    <pivotField axis="axisRow" showAll="0">
      <items count="9">
        <item x="5"/>
        <item x="6"/>
        <item x="2"/>
        <item x="0"/>
        <item x="3"/>
        <item x="7"/>
        <item x="1"/>
        <item x="4"/>
        <item t="default"/>
      </items>
    </pivotField>
    <pivotField showAll="0">
      <items count="4">
        <item h="1" x="1"/>
        <item x="2"/>
        <item h="1" x="0"/>
        <item t="default"/>
      </items>
    </pivotField>
    <pivotField dataField="1" showAll="0"/>
    <pivotField numFmtId="164" showAll="0"/>
    <pivotField showAll="0"/>
    <pivotField showAll="0">
      <items count="5">
        <item x="3"/>
        <item x="0"/>
        <item x="2"/>
        <item x="1"/>
        <item t="default"/>
      </items>
    </pivotField>
    <pivotField dataField="1" numFmtId="164" showAll="0"/>
    <pivotField showAll="0"/>
    <pivotField showAll="0">
      <items count="25">
        <item x="3"/>
        <item x="20"/>
        <item x="21"/>
        <item x="6"/>
        <item x="0"/>
        <item x="19"/>
        <item x="18"/>
        <item x="13"/>
        <item x="17"/>
        <item x="11"/>
        <item x="4"/>
        <item x="14"/>
        <item x="12"/>
        <item x="1"/>
        <item x="2"/>
        <item x="10"/>
        <item x="9"/>
        <item x="8"/>
        <item x="15"/>
        <item x="7"/>
        <item x="23"/>
        <item x="22"/>
        <item x="5"/>
        <item x="16"/>
        <item t="default"/>
      </items>
    </pivotField>
    <pivotField showAll="0">
      <items count="4">
        <item x="2"/>
        <item x="1"/>
        <item x="0"/>
        <item t="default"/>
      </items>
    </pivotField>
    <pivotField showAll="0">
      <items count="2">
        <item x="0"/>
        <item t="default"/>
      </items>
    </pivotField>
  </pivotFields>
  <rowFields count="1">
    <field x="2"/>
  </rowFields>
  <rowItems count="7">
    <i>
      <x/>
    </i>
    <i>
      <x v="1"/>
    </i>
    <i>
      <x v="3"/>
    </i>
    <i>
      <x v="4"/>
    </i>
    <i>
      <x v="5"/>
    </i>
    <i>
      <x v="6"/>
    </i>
    <i>
      <x v="7"/>
    </i>
  </rowItems>
  <colFields count="1">
    <field x="-2"/>
  </colFields>
  <colItems count="2">
    <i>
      <x/>
    </i>
    <i i="1">
      <x v="1"/>
    </i>
  </colItems>
  <dataFields count="2">
    <dataField name="Sum of Quantity" fld="4" baseField="0" baseItem="0"/>
    <dataField name="Sum of Total Sales " fld="8"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location ref="G3:H15" firstHeaderRow="1" firstDataRow="1" firstDataCol="1"/>
  <pivotFields count="13">
    <pivotField showAll="0"/>
    <pivotField showAll="0"/>
    <pivotField showAll="0"/>
    <pivotField showAll="0">
      <items count="4">
        <item h="1" x="1"/>
        <item x="2"/>
        <item h="1" x="0"/>
        <item t="default"/>
      </items>
    </pivotField>
    <pivotField showAll="0"/>
    <pivotField numFmtId="164" showAll="0"/>
    <pivotField showAll="0"/>
    <pivotField showAll="0">
      <items count="5">
        <item x="3"/>
        <item x="0"/>
        <item x="2"/>
        <item x="1"/>
        <item t="default"/>
      </items>
    </pivotField>
    <pivotField axis="axisRow" numFmtId="164" showAll="0">
      <items count="51">
        <item x="45"/>
        <item x="39"/>
        <item x="32"/>
        <item x="21"/>
        <item x="26"/>
        <item x="10"/>
        <item x="34"/>
        <item x="25"/>
        <item x="27"/>
        <item x="22"/>
        <item x="41"/>
        <item x="46"/>
        <item x="19"/>
        <item x="38"/>
        <item x="16"/>
        <item x="9"/>
        <item x="36"/>
        <item x="17"/>
        <item x="13"/>
        <item x="47"/>
        <item x="7"/>
        <item x="30"/>
        <item x="31"/>
        <item x="5"/>
        <item x="18"/>
        <item x="43"/>
        <item x="2"/>
        <item x="14"/>
        <item x="23"/>
        <item x="3"/>
        <item x="15"/>
        <item x="40"/>
        <item x="11"/>
        <item x="29"/>
        <item x="35"/>
        <item x="20"/>
        <item x="12"/>
        <item x="8"/>
        <item x="0"/>
        <item x="49"/>
        <item x="33"/>
        <item x="24"/>
        <item x="6"/>
        <item x="4"/>
        <item x="44"/>
        <item x="28"/>
        <item x="37"/>
        <item x="42"/>
        <item x="1"/>
        <item x="48"/>
        <item t="default"/>
      </items>
    </pivotField>
    <pivotField showAll="0"/>
    <pivotField showAll="0">
      <items count="25">
        <item x="3"/>
        <item x="20"/>
        <item x="21"/>
        <item x="6"/>
        <item x="0"/>
        <item x="19"/>
        <item x="18"/>
        <item x="13"/>
        <item x="17"/>
        <item x="11"/>
        <item x="4"/>
        <item x="14"/>
        <item x="12"/>
        <item x="1"/>
        <item x="2"/>
        <item x="10"/>
        <item x="9"/>
        <item x="8"/>
        <item x="15"/>
        <item x="7"/>
        <item x="23"/>
        <item x="22"/>
        <item x="5"/>
        <item x="16"/>
        <item t="default"/>
      </items>
    </pivotField>
    <pivotField showAll="0">
      <items count="4">
        <item x="2"/>
        <item x="1"/>
        <item x="0"/>
        <item t="default"/>
      </items>
    </pivotField>
    <pivotField dataField="1" showAll="0">
      <items count="2">
        <item x="0"/>
        <item t="default"/>
      </items>
    </pivotField>
  </pivotFields>
  <rowFields count="1">
    <field x="8"/>
  </rowFields>
  <rowItems count="12">
    <i>
      <x v="4"/>
    </i>
    <i>
      <x v="5"/>
    </i>
    <i>
      <x v="6"/>
    </i>
    <i>
      <x v="7"/>
    </i>
    <i>
      <x v="24"/>
    </i>
    <i>
      <x v="30"/>
    </i>
    <i>
      <x v="31"/>
    </i>
    <i>
      <x v="32"/>
    </i>
    <i>
      <x v="37"/>
    </i>
    <i>
      <x v="39"/>
    </i>
    <i>
      <x v="40"/>
    </i>
    <i>
      <x v="44"/>
    </i>
  </rowItems>
  <colItems count="1">
    <i/>
  </colItems>
  <dataFields count="1">
    <dataField name="Sum of YEA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location ref="D3:E6" firstHeaderRow="1" firstDataRow="1" firstDataCol="1"/>
  <pivotFields count="13">
    <pivotField showAll="0"/>
    <pivotField showAll="0"/>
    <pivotField showAll="0"/>
    <pivotField showAll="0">
      <items count="4">
        <item h="1" x="1"/>
        <item x="2"/>
        <item h="1" x="0"/>
        <item t="default"/>
      </items>
    </pivotField>
    <pivotField showAll="0"/>
    <pivotField numFmtId="164" showAll="0"/>
    <pivotField showAll="0"/>
    <pivotField showAll="0">
      <items count="5">
        <item x="3"/>
        <item x="0"/>
        <item x="2"/>
        <item x="1"/>
        <item t="default"/>
      </items>
    </pivotField>
    <pivotField dataField="1" numFmtId="164" showAll="0"/>
    <pivotField showAll="0"/>
    <pivotField showAll="0">
      <items count="25">
        <item x="3"/>
        <item x="20"/>
        <item x="21"/>
        <item x="6"/>
        <item x="0"/>
        <item x="19"/>
        <item x="18"/>
        <item x="13"/>
        <item x="17"/>
        <item x="11"/>
        <item x="4"/>
        <item x="14"/>
        <item x="12"/>
        <item x="1"/>
        <item x="2"/>
        <item x="10"/>
        <item x="9"/>
        <item x="8"/>
        <item x="15"/>
        <item x="7"/>
        <item x="23"/>
        <item x="22"/>
        <item x="5"/>
        <item x="16"/>
        <item t="default"/>
      </items>
    </pivotField>
    <pivotField axis="axisRow" showAll="0">
      <items count="4">
        <item x="2"/>
        <item x="1"/>
        <item x="0"/>
        <item t="default"/>
      </items>
    </pivotField>
    <pivotField showAll="0">
      <items count="2">
        <item x="0"/>
        <item t="default"/>
      </items>
    </pivotField>
  </pivotFields>
  <rowFields count="1">
    <field x="11"/>
  </rowFields>
  <rowItems count="3">
    <i>
      <x/>
    </i>
    <i>
      <x v="1"/>
    </i>
    <i>
      <x v="2"/>
    </i>
  </rowItems>
  <colItems count="1">
    <i/>
  </colItems>
  <dataFields count="1">
    <dataField name="Sum of Total Sales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6">
  <location ref="A3:B12" firstHeaderRow="1" firstDataRow="1" firstDataCol="1"/>
  <pivotFields count="13">
    <pivotField showAll="0"/>
    <pivotField showAll="0"/>
    <pivotField showAll="0"/>
    <pivotField showAll="0">
      <items count="4">
        <item h="1" x="1"/>
        <item x="2"/>
        <item h="1" x="0"/>
        <item t="default"/>
      </items>
    </pivotField>
    <pivotField showAll="0"/>
    <pivotField numFmtId="164" showAll="0"/>
    <pivotField showAll="0"/>
    <pivotField showAll="0">
      <items count="5">
        <item x="3"/>
        <item x="0"/>
        <item x="2"/>
        <item x="1"/>
        <item t="default"/>
      </items>
    </pivotField>
    <pivotField dataField="1" numFmtId="164" showAll="0"/>
    <pivotField showAll="0"/>
    <pivotField axis="axisRow" showAll="0">
      <items count="25">
        <item x="3"/>
        <item x="20"/>
        <item x="21"/>
        <item x="6"/>
        <item x="0"/>
        <item x="19"/>
        <item x="18"/>
        <item x="13"/>
        <item x="17"/>
        <item x="11"/>
        <item x="4"/>
        <item x="14"/>
        <item x="12"/>
        <item x="1"/>
        <item x="2"/>
        <item x="10"/>
        <item x="9"/>
        <item x="8"/>
        <item x="15"/>
        <item x="7"/>
        <item x="23"/>
        <item x="22"/>
        <item x="5"/>
        <item x="16"/>
        <item t="default"/>
      </items>
    </pivotField>
    <pivotField showAll="0">
      <items count="4">
        <item x="2"/>
        <item x="1"/>
        <item x="0"/>
        <item t="default"/>
      </items>
    </pivotField>
    <pivotField showAll="0">
      <items count="2">
        <item x="0"/>
        <item t="default"/>
      </items>
    </pivotField>
  </pivotFields>
  <rowFields count="1">
    <field x="10"/>
  </rowFields>
  <rowItems count="9">
    <i>
      <x v="7"/>
    </i>
    <i>
      <x v="8"/>
    </i>
    <i>
      <x v="11"/>
    </i>
    <i>
      <x v="12"/>
    </i>
    <i>
      <x v="14"/>
    </i>
    <i>
      <x v="16"/>
    </i>
    <i>
      <x v="17"/>
    </i>
    <i>
      <x v="21"/>
    </i>
    <i>
      <x v="22"/>
    </i>
  </rowItems>
  <colItems count="1">
    <i/>
  </colItems>
  <dataFields count="1">
    <dataField name="Sum of Total Sales "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8" name="PivotTable3"/>
    <pivotTable tabId="8" name="PivotTable4"/>
    <pivotTable tabId="8" name="PivotTable5"/>
    <pivotTable tabId="8" name="PivotTable7"/>
    <pivotTable tabId="8" name="PivotTable8"/>
    <pivotTable tabId="8" name="PivotTable9"/>
  </pivotTables>
  <data>
    <tabular pivotCacheId="1">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8" name="PivotTable3"/>
    <pivotTable tabId="8" name="PivotTable4"/>
    <pivotTable tabId="8" name="PivotTable5"/>
    <pivotTable tabId="8" name="PivotTable7"/>
    <pivotTable tabId="8" name="PivotTable8"/>
    <pivotTable tabId="8" name="PivotTable9"/>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8" name="PivotTable3"/>
    <pivotTable tabId="8" name="PivotTable4"/>
    <pivotTable tabId="8" name="PivotTable5"/>
    <pivotTable tabId="8" name="PivotTable7"/>
    <pivotTable tabId="8" name="PivotTable8"/>
    <pivotTable tabId="8" name="PivotTable9"/>
  </pivotTables>
  <data>
    <tabular pivotCacheId="1">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ivotTable3"/>
    <pivotTable tabId="8" name="PivotTable4"/>
    <pivotTable tabId="8" name="PivotTable5"/>
    <pivotTable tabId="8" name="PivotTable7"/>
    <pivotTable tabId="8" name="PivotTable8"/>
    <pivotTable tabId="8" name="PivotTable9"/>
  </pivotTables>
  <data>
    <tabular pivotCacheId="1">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yle="Slicer Style 3" rowHeight="241300"/>
  <slicer name="MONTH" cache="Slicer_MONTH" caption="MONTH" style="Slicer Style 3" rowHeight="241300"/>
  <slicer name="Region" cache="Slicer_Region" caption="Region" style="Slicer Style 3" rowHeight="241300"/>
  <slicer name="Category" cache="Slicer_Category" caption="Category" style="Slicer Style 3" rowHeight="241300"/>
</slicers>
</file>

<file path=xl/tables/table1.xml><?xml version="1.0" encoding="utf-8"?>
<table xmlns="http://schemas.openxmlformats.org/spreadsheetml/2006/main" id="1" name="Table1" displayName="Table1" ref="A1:B7" totalsRowShown="0">
  <tableColumns count="2">
    <tableColumn id="1" name="Employee ID" dataDxfId="1"/>
    <tableColumn id="2" name="EMP5002"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zoomScaleNormal="100" workbookViewId="0">
      <selection activeCell="A6" sqref="A1:I51"/>
    </sheetView>
  </sheetViews>
  <sheetFormatPr defaultColWidth="8.7109375" defaultRowHeight="15"/>
  <cols>
    <col min="1" max="1" width="12" customWidth="1"/>
    <col min="2" max="2" width="18" customWidth="1"/>
    <col min="3" max="3" width="15" customWidth="1"/>
    <col min="4" max="4" width="12" customWidth="1"/>
    <col min="5" max="5" width="10" customWidth="1"/>
    <col min="6" max="7" width="12" customWidth="1"/>
    <col min="8" max="8" width="10" customWidth="1"/>
    <col min="9" max="9" width="14" customWidth="1"/>
  </cols>
  <sheetData>
    <row r="1" spans="1:9">
      <c r="A1" s="1" t="s">
        <v>0</v>
      </c>
      <c r="B1" s="1" t="s">
        <v>1</v>
      </c>
      <c r="C1" s="1" t="s">
        <v>2</v>
      </c>
      <c r="D1" s="1" t="s">
        <v>3</v>
      </c>
      <c r="E1" s="1" t="s">
        <v>4</v>
      </c>
      <c r="F1" s="1" t="s">
        <v>5</v>
      </c>
      <c r="G1" s="1" t="s">
        <v>6</v>
      </c>
      <c r="H1" s="1" t="s">
        <v>7</v>
      </c>
      <c r="I1" s="1" t="s">
        <v>8</v>
      </c>
    </row>
    <row r="2" spans="1:9">
      <c r="A2" s="2" t="s">
        <v>9</v>
      </c>
      <c r="B2" s="2" t="s">
        <v>10</v>
      </c>
      <c r="C2" s="2" t="s">
        <v>11</v>
      </c>
      <c r="D2" s="2" t="s">
        <v>12</v>
      </c>
      <c r="E2" s="2">
        <v>17</v>
      </c>
      <c r="F2" s="3">
        <v>294.94</v>
      </c>
      <c r="G2" s="4" t="s">
        <v>13</v>
      </c>
      <c r="H2" s="2" t="s">
        <v>14</v>
      </c>
      <c r="I2" s="3">
        <v>5013.9799999999996</v>
      </c>
    </row>
    <row r="3" spans="1:9">
      <c r="A3" s="2" t="s">
        <v>15</v>
      </c>
      <c r="B3" s="2" t="s">
        <v>16</v>
      </c>
      <c r="C3" s="2" t="s">
        <v>17</v>
      </c>
      <c r="D3" s="2" t="s">
        <v>12</v>
      </c>
      <c r="E3" s="2">
        <v>20</v>
      </c>
      <c r="F3" s="3">
        <v>391.93</v>
      </c>
      <c r="G3" s="4" t="s">
        <v>18</v>
      </c>
      <c r="H3" s="2" t="s">
        <v>19</v>
      </c>
      <c r="I3" s="3">
        <v>7838.6</v>
      </c>
    </row>
    <row r="4" spans="1:9">
      <c r="A4" s="2" t="s">
        <v>20</v>
      </c>
      <c r="B4" s="2" t="s">
        <v>21</v>
      </c>
      <c r="C4" s="2" t="s">
        <v>22</v>
      </c>
      <c r="D4" s="2" t="s">
        <v>12</v>
      </c>
      <c r="E4" s="2">
        <v>13</v>
      </c>
      <c r="F4" s="3">
        <v>248.92</v>
      </c>
      <c r="G4" s="4" t="s">
        <v>23</v>
      </c>
      <c r="H4" s="2" t="s">
        <v>24</v>
      </c>
      <c r="I4" s="3">
        <v>3235.96</v>
      </c>
    </row>
    <row r="5" spans="1:9">
      <c r="A5" s="2" t="s">
        <v>25</v>
      </c>
      <c r="B5" s="2" t="s">
        <v>10</v>
      </c>
      <c r="C5" s="2" t="s">
        <v>26</v>
      </c>
      <c r="D5" s="2" t="s">
        <v>27</v>
      </c>
      <c r="E5" s="2">
        <v>10</v>
      </c>
      <c r="F5" s="3">
        <v>373.15</v>
      </c>
      <c r="G5" s="4" t="s">
        <v>28</v>
      </c>
      <c r="H5" s="2" t="s">
        <v>29</v>
      </c>
      <c r="I5" s="3">
        <v>3731.5</v>
      </c>
    </row>
    <row r="6" spans="1:9">
      <c r="A6" s="2" t="s">
        <v>30</v>
      </c>
      <c r="B6" s="2" t="s">
        <v>21</v>
      </c>
      <c r="C6" s="2" t="s">
        <v>31</v>
      </c>
      <c r="D6" s="2" t="s">
        <v>27</v>
      </c>
      <c r="E6" s="2">
        <v>16</v>
      </c>
      <c r="F6" s="3">
        <v>394.59</v>
      </c>
      <c r="G6" s="4" t="s">
        <v>32</v>
      </c>
      <c r="H6" s="2" t="s">
        <v>24</v>
      </c>
      <c r="I6" s="3">
        <v>6313.44</v>
      </c>
    </row>
    <row r="7" spans="1:9">
      <c r="A7" s="2" t="s">
        <v>33</v>
      </c>
      <c r="B7" s="2" t="s">
        <v>34</v>
      </c>
      <c r="C7" s="2" t="s">
        <v>35</v>
      </c>
      <c r="D7" s="2" t="s">
        <v>27</v>
      </c>
      <c r="E7" s="2">
        <v>8</v>
      </c>
      <c r="F7" s="3">
        <v>335.63</v>
      </c>
      <c r="G7" s="4" t="s">
        <v>36</v>
      </c>
      <c r="H7" s="2" t="s">
        <v>24</v>
      </c>
      <c r="I7" s="3">
        <v>2685.04</v>
      </c>
    </row>
    <row r="8" spans="1:9">
      <c r="A8" s="2" t="s">
        <v>37</v>
      </c>
      <c r="B8" s="2" t="s">
        <v>38</v>
      </c>
      <c r="C8" s="2" t="s">
        <v>11</v>
      </c>
      <c r="D8" s="2" t="s">
        <v>12</v>
      </c>
      <c r="E8" s="2">
        <v>16</v>
      </c>
      <c r="F8" s="3">
        <v>388.1</v>
      </c>
      <c r="G8" s="4" t="s">
        <v>39</v>
      </c>
      <c r="H8" s="2" t="s">
        <v>19</v>
      </c>
      <c r="I8" s="3">
        <v>6209.6</v>
      </c>
    </row>
    <row r="9" spans="1:9">
      <c r="A9" s="2" t="s">
        <v>40</v>
      </c>
      <c r="B9" s="2" t="s">
        <v>16</v>
      </c>
      <c r="C9" s="2" t="s">
        <v>26</v>
      </c>
      <c r="D9" s="2" t="s">
        <v>12</v>
      </c>
      <c r="E9" s="2">
        <v>19</v>
      </c>
      <c r="F9" s="3">
        <v>98.11</v>
      </c>
      <c r="G9" s="4" t="s">
        <v>41</v>
      </c>
      <c r="H9" s="2" t="s">
        <v>24</v>
      </c>
      <c r="I9" s="3">
        <v>1864.09</v>
      </c>
    </row>
    <row r="10" spans="1:9">
      <c r="A10" s="2" t="s">
        <v>42</v>
      </c>
      <c r="B10" s="2" t="s">
        <v>10</v>
      </c>
      <c r="C10" s="2" t="s">
        <v>26</v>
      </c>
      <c r="D10" s="2" t="s">
        <v>43</v>
      </c>
      <c r="E10" s="2">
        <v>11</v>
      </c>
      <c r="F10" s="3">
        <v>437.7</v>
      </c>
      <c r="G10" s="4" t="s">
        <v>44</v>
      </c>
      <c r="H10" s="2" t="s">
        <v>14</v>
      </c>
      <c r="I10" s="3">
        <v>4814.7</v>
      </c>
    </row>
    <row r="11" spans="1:9">
      <c r="A11" s="2" t="s">
        <v>45</v>
      </c>
      <c r="B11" s="2" t="s">
        <v>21</v>
      </c>
      <c r="C11" s="2" t="s">
        <v>35</v>
      </c>
      <c r="D11" s="2" t="s">
        <v>12</v>
      </c>
      <c r="E11" s="2">
        <v>16</v>
      </c>
      <c r="F11" s="3">
        <v>66.86</v>
      </c>
      <c r="G11" s="4" t="s">
        <v>46</v>
      </c>
      <c r="H11" s="2" t="s">
        <v>29</v>
      </c>
      <c r="I11" s="3">
        <v>1069.76</v>
      </c>
    </row>
    <row r="12" spans="1:9">
      <c r="A12" s="2" t="s">
        <v>47</v>
      </c>
      <c r="B12" s="2" t="s">
        <v>48</v>
      </c>
      <c r="C12" s="2" t="s">
        <v>35</v>
      </c>
      <c r="D12" s="2" t="s">
        <v>43</v>
      </c>
      <c r="E12" s="2">
        <v>19</v>
      </c>
      <c r="F12" s="3">
        <v>17.43</v>
      </c>
      <c r="G12" s="4" t="s">
        <v>49</v>
      </c>
      <c r="H12" s="2" t="s">
        <v>29</v>
      </c>
      <c r="I12" s="3">
        <v>331.17</v>
      </c>
    </row>
    <row r="13" spans="1:9">
      <c r="A13" s="2" t="s">
        <v>50</v>
      </c>
      <c r="B13" s="2" t="s">
        <v>10</v>
      </c>
      <c r="C13" s="2" t="s">
        <v>31</v>
      </c>
      <c r="D13" s="2" t="s">
        <v>43</v>
      </c>
      <c r="E13" s="2">
        <v>16</v>
      </c>
      <c r="F13" s="3">
        <v>268.31</v>
      </c>
      <c r="G13" s="4" t="s">
        <v>36</v>
      </c>
      <c r="H13" s="2" t="s">
        <v>14</v>
      </c>
      <c r="I13" s="3">
        <v>4292.96</v>
      </c>
    </row>
    <row r="14" spans="1:9">
      <c r="A14" s="2" t="s">
        <v>51</v>
      </c>
      <c r="B14" s="2" t="s">
        <v>38</v>
      </c>
      <c r="C14" s="2" t="s">
        <v>35</v>
      </c>
      <c r="D14" s="2" t="s">
        <v>27</v>
      </c>
      <c r="E14" s="2">
        <v>16</v>
      </c>
      <c r="F14" s="3">
        <v>296.85000000000002</v>
      </c>
      <c r="G14" s="4" t="s">
        <v>52</v>
      </c>
      <c r="H14" s="2" t="s">
        <v>29</v>
      </c>
      <c r="I14" s="3">
        <v>4749.6000000000004</v>
      </c>
    </row>
    <row r="15" spans="1:9">
      <c r="A15" s="2" t="s">
        <v>53</v>
      </c>
      <c r="B15" s="2" t="s">
        <v>16</v>
      </c>
      <c r="C15" s="2" t="s">
        <v>22</v>
      </c>
      <c r="D15" s="2" t="s">
        <v>12</v>
      </c>
      <c r="E15" s="2">
        <v>6</v>
      </c>
      <c r="F15" s="3">
        <v>204.97</v>
      </c>
      <c r="G15" s="4" t="s">
        <v>54</v>
      </c>
      <c r="H15" s="2" t="s">
        <v>29</v>
      </c>
      <c r="I15" s="3">
        <v>1229.82</v>
      </c>
    </row>
    <row r="16" spans="1:9">
      <c r="A16" s="2" t="s">
        <v>55</v>
      </c>
      <c r="B16" s="2" t="s">
        <v>10</v>
      </c>
      <c r="C16" s="2" t="s">
        <v>11</v>
      </c>
      <c r="D16" s="2" t="s">
        <v>12</v>
      </c>
      <c r="E16" s="2">
        <v>18</v>
      </c>
      <c r="F16" s="3">
        <v>186.64</v>
      </c>
      <c r="G16" s="4" t="s">
        <v>56</v>
      </c>
      <c r="H16" s="2" t="s">
        <v>24</v>
      </c>
      <c r="I16" s="3">
        <v>3359.52</v>
      </c>
    </row>
    <row r="17" spans="1:9">
      <c r="A17" s="2" t="s">
        <v>57</v>
      </c>
      <c r="B17" s="2" t="s">
        <v>16</v>
      </c>
      <c r="C17" s="2" t="s">
        <v>58</v>
      </c>
      <c r="D17" s="2" t="s">
        <v>43</v>
      </c>
      <c r="E17" s="2">
        <v>20</v>
      </c>
      <c r="F17" s="3">
        <v>188.51</v>
      </c>
      <c r="G17" s="4" t="s">
        <v>59</v>
      </c>
      <c r="H17" s="2" t="s">
        <v>29</v>
      </c>
      <c r="I17" s="3">
        <v>3770.2</v>
      </c>
    </row>
    <row r="18" spans="1:9">
      <c r="A18" s="2" t="s">
        <v>60</v>
      </c>
      <c r="B18" s="2" t="s">
        <v>10</v>
      </c>
      <c r="C18" s="2" t="s">
        <v>58</v>
      </c>
      <c r="D18" s="2" t="s">
        <v>12</v>
      </c>
      <c r="E18" s="2">
        <v>2</v>
      </c>
      <c r="F18" s="3">
        <v>489.55</v>
      </c>
      <c r="G18" s="4" t="s">
        <v>61</v>
      </c>
      <c r="H18" s="2" t="s">
        <v>14</v>
      </c>
      <c r="I18" s="3">
        <v>979.1</v>
      </c>
    </row>
    <row r="19" spans="1:9">
      <c r="A19" s="2" t="s">
        <v>62</v>
      </c>
      <c r="B19" s="2" t="s">
        <v>16</v>
      </c>
      <c r="C19" s="2" t="s">
        <v>31</v>
      </c>
      <c r="D19" s="2" t="s">
        <v>27</v>
      </c>
      <c r="E19" s="2">
        <v>3</v>
      </c>
      <c r="F19" s="3">
        <v>396.43</v>
      </c>
      <c r="G19" s="4" t="s">
        <v>63</v>
      </c>
      <c r="H19" s="2" t="s">
        <v>19</v>
      </c>
      <c r="I19" s="3">
        <v>1189.29</v>
      </c>
    </row>
    <row r="20" spans="1:9">
      <c r="A20" s="2" t="s">
        <v>64</v>
      </c>
      <c r="B20" s="2" t="s">
        <v>10</v>
      </c>
      <c r="C20" s="2" t="s">
        <v>26</v>
      </c>
      <c r="D20" s="2" t="s">
        <v>43</v>
      </c>
      <c r="E20" s="2">
        <v>17</v>
      </c>
      <c r="F20" s="3">
        <v>174.54</v>
      </c>
      <c r="G20" s="4" t="s">
        <v>65</v>
      </c>
      <c r="H20" s="2" t="s">
        <v>29</v>
      </c>
      <c r="I20" s="3">
        <v>2967.18</v>
      </c>
    </row>
    <row r="21" spans="1:9">
      <c r="A21" s="2" t="s">
        <v>66</v>
      </c>
      <c r="B21" s="2" t="s">
        <v>21</v>
      </c>
      <c r="C21" s="2" t="s">
        <v>26</v>
      </c>
      <c r="D21" s="2" t="s">
        <v>27</v>
      </c>
      <c r="E21" s="2">
        <v>2</v>
      </c>
      <c r="F21" s="3">
        <v>415.51</v>
      </c>
      <c r="G21" s="4" t="s">
        <v>67</v>
      </c>
      <c r="H21" s="2" t="s">
        <v>14</v>
      </c>
      <c r="I21" s="3">
        <v>831.02</v>
      </c>
    </row>
    <row r="22" spans="1:9">
      <c r="A22" s="2" t="s">
        <v>68</v>
      </c>
      <c r="B22" s="2" t="s">
        <v>16</v>
      </c>
      <c r="C22" s="2" t="s">
        <v>69</v>
      </c>
      <c r="D22" s="2" t="s">
        <v>12</v>
      </c>
      <c r="E22" s="2">
        <v>14</v>
      </c>
      <c r="F22" s="3">
        <v>337.11</v>
      </c>
      <c r="G22" s="4" t="s">
        <v>70</v>
      </c>
      <c r="H22" s="2" t="s">
        <v>29</v>
      </c>
      <c r="I22" s="3">
        <v>4719.54</v>
      </c>
    </row>
    <row r="23" spans="1:9">
      <c r="A23" s="2" t="s">
        <v>71</v>
      </c>
      <c r="B23" s="2" t="s">
        <v>16</v>
      </c>
      <c r="C23" s="2" t="s">
        <v>58</v>
      </c>
      <c r="D23" s="2" t="s">
        <v>12</v>
      </c>
      <c r="E23" s="2">
        <v>2</v>
      </c>
      <c r="F23" s="3">
        <v>102.6</v>
      </c>
      <c r="G23" s="4" t="s">
        <v>72</v>
      </c>
      <c r="H23" s="2" t="s">
        <v>29</v>
      </c>
      <c r="I23" s="3">
        <v>205.2</v>
      </c>
    </row>
    <row r="24" spans="1:9">
      <c r="A24" s="2" t="s">
        <v>73</v>
      </c>
      <c r="B24" s="2" t="s">
        <v>10</v>
      </c>
      <c r="C24" s="2" t="s">
        <v>17</v>
      </c>
      <c r="D24" s="2" t="s">
        <v>27</v>
      </c>
      <c r="E24" s="2">
        <v>7</v>
      </c>
      <c r="F24" s="3">
        <v>75.27</v>
      </c>
      <c r="G24" s="4" t="s">
        <v>74</v>
      </c>
      <c r="H24" s="2" t="s">
        <v>24</v>
      </c>
      <c r="I24" s="3">
        <v>526.89</v>
      </c>
    </row>
    <row r="25" spans="1:9">
      <c r="A25" s="2" t="s">
        <v>75</v>
      </c>
      <c r="B25" s="2" t="s">
        <v>21</v>
      </c>
      <c r="C25" s="2" t="s">
        <v>11</v>
      </c>
      <c r="D25" s="2" t="s">
        <v>12</v>
      </c>
      <c r="E25" s="2">
        <v>16</v>
      </c>
      <c r="F25" s="3">
        <v>230.51</v>
      </c>
      <c r="G25" s="4" t="s">
        <v>76</v>
      </c>
      <c r="H25" s="2" t="s">
        <v>14</v>
      </c>
      <c r="I25" s="3">
        <v>3688.16</v>
      </c>
    </row>
    <row r="26" spans="1:9">
      <c r="A26" s="2" t="s">
        <v>77</v>
      </c>
      <c r="B26" s="2" t="s">
        <v>16</v>
      </c>
      <c r="C26" s="2" t="s">
        <v>11</v>
      </c>
      <c r="D26" s="2" t="s">
        <v>12</v>
      </c>
      <c r="E26" s="2">
        <v>16</v>
      </c>
      <c r="F26" s="3">
        <v>343.67</v>
      </c>
      <c r="G26" s="4" t="s">
        <v>78</v>
      </c>
      <c r="H26" s="2" t="s">
        <v>29</v>
      </c>
      <c r="I26" s="3">
        <v>5498.72</v>
      </c>
    </row>
    <row r="27" spans="1:9">
      <c r="A27" s="2" t="s">
        <v>79</v>
      </c>
      <c r="B27" s="2" t="s">
        <v>34</v>
      </c>
      <c r="C27" s="2" t="s">
        <v>35</v>
      </c>
      <c r="D27" s="2" t="s">
        <v>43</v>
      </c>
      <c r="E27" s="2">
        <v>5</v>
      </c>
      <c r="F27" s="3">
        <v>96.27</v>
      </c>
      <c r="G27" s="4" t="s">
        <v>80</v>
      </c>
      <c r="H27" s="2" t="s">
        <v>24</v>
      </c>
      <c r="I27" s="3">
        <v>481.35</v>
      </c>
    </row>
    <row r="28" spans="1:9">
      <c r="A28" s="2" t="s">
        <v>81</v>
      </c>
      <c r="B28" s="2" t="s">
        <v>82</v>
      </c>
      <c r="C28" s="2" t="s">
        <v>11</v>
      </c>
      <c r="D28" s="2" t="s">
        <v>43</v>
      </c>
      <c r="E28" s="2">
        <v>11</v>
      </c>
      <c r="F28" s="3">
        <v>18.73</v>
      </c>
      <c r="G28" s="4" t="s">
        <v>83</v>
      </c>
      <c r="H28" s="2" t="s">
        <v>24</v>
      </c>
      <c r="I28" s="3">
        <v>206.03</v>
      </c>
    </row>
    <row r="29" spans="1:9">
      <c r="A29" s="2" t="s">
        <v>84</v>
      </c>
      <c r="B29" s="2" t="s">
        <v>48</v>
      </c>
      <c r="C29" s="2" t="s">
        <v>58</v>
      </c>
      <c r="D29" s="2" t="s">
        <v>27</v>
      </c>
      <c r="E29" s="2">
        <v>2</v>
      </c>
      <c r="F29" s="3">
        <v>245.11</v>
      </c>
      <c r="G29" s="4" t="s">
        <v>85</v>
      </c>
      <c r="H29" s="2" t="s">
        <v>14</v>
      </c>
      <c r="I29" s="3">
        <v>490.22</v>
      </c>
    </row>
    <row r="30" spans="1:9">
      <c r="A30" s="2" t="s">
        <v>86</v>
      </c>
      <c r="B30" s="2" t="s">
        <v>82</v>
      </c>
      <c r="C30" s="2" t="s">
        <v>58</v>
      </c>
      <c r="D30" s="2" t="s">
        <v>27</v>
      </c>
      <c r="E30" s="2">
        <v>19</v>
      </c>
      <c r="F30" s="3">
        <v>357.23</v>
      </c>
      <c r="G30" s="4" t="s">
        <v>87</v>
      </c>
      <c r="H30" s="2" t="s">
        <v>29</v>
      </c>
      <c r="I30" s="3">
        <v>6787.37</v>
      </c>
    </row>
    <row r="31" spans="1:9">
      <c r="A31" s="2" t="s">
        <v>88</v>
      </c>
      <c r="B31" s="2" t="s">
        <v>21</v>
      </c>
      <c r="C31" s="2" t="s">
        <v>69</v>
      </c>
      <c r="D31" s="2" t="s">
        <v>27</v>
      </c>
      <c r="E31" s="2">
        <v>9</v>
      </c>
      <c r="F31" s="3">
        <v>481.31</v>
      </c>
      <c r="G31" s="4" t="s">
        <v>89</v>
      </c>
      <c r="H31" s="2" t="s">
        <v>29</v>
      </c>
      <c r="I31" s="3">
        <v>4331.79</v>
      </c>
    </row>
    <row r="32" spans="1:9">
      <c r="A32" s="2" t="s">
        <v>90</v>
      </c>
      <c r="B32" s="2" t="s">
        <v>16</v>
      </c>
      <c r="C32" s="2" t="s">
        <v>58</v>
      </c>
      <c r="D32" s="2" t="s">
        <v>12</v>
      </c>
      <c r="E32" s="2">
        <v>19</v>
      </c>
      <c r="F32" s="3">
        <v>114.64</v>
      </c>
      <c r="G32" s="4" t="s">
        <v>91</v>
      </c>
      <c r="H32" s="2" t="s">
        <v>14</v>
      </c>
      <c r="I32" s="3">
        <v>2178.16</v>
      </c>
    </row>
    <row r="33" spans="1:9">
      <c r="A33" s="2" t="s">
        <v>92</v>
      </c>
      <c r="B33" s="2" t="s">
        <v>82</v>
      </c>
      <c r="C33" s="2" t="s">
        <v>22</v>
      </c>
      <c r="D33" s="2" t="s">
        <v>12</v>
      </c>
      <c r="E33" s="2">
        <v>9</v>
      </c>
      <c r="F33" s="3">
        <v>273.02</v>
      </c>
      <c r="G33" s="4" t="s">
        <v>87</v>
      </c>
      <c r="H33" s="2" t="s">
        <v>19</v>
      </c>
      <c r="I33" s="3">
        <v>2457.1799999999998</v>
      </c>
    </row>
    <row r="34" spans="1:9">
      <c r="A34" s="2" t="s">
        <v>93</v>
      </c>
      <c r="B34" s="2" t="s">
        <v>10</v>
      </c>
      <c r="C34" s="2" t="s">
        <v>69</v>
      </c>
      <c r="D34" s="2" t="s">
        <v>12</v>
      </c>
      <c r="E34" s="2">
        <v>7</v>
      </c>
      <c r="F34" s="3">
        <v>25.87</v>
      </c>
      <c r="G34" s="4" t="s">
        <v>94</v>
      </c>
      <c r="H34" s="2" t="s">
        <v>29</v>
      </c>
      <c r="I34" s="3">
        <v>181.09</v>
      </c>
    </row>
    <row r="35" spans="1:9">
      <c r="A35" s="2" t="s">
        <v>95</v>
      </c>
      <c r="B35" s="2" t="s">
        <v>21</v>
      </c>
      <c r="C35" s="2" t="s">
        <v>11</v>
      </c>
      <c r="D35" s="2" t="s">
        <v>43</v>
      </c>
      <c r="E35" s="2">
        <v>19</v>
      </c>
      <c r="F35" s="3">
        <v>280.33999999999997</v>
      </c>
      <c r="G35" s="4" t="s">
        <v>96</v>
      </c>
      <c r="H35" s="2" t="s">
        <v>19</v>
      </c>
      <c r="I35" s="3">
        <v>5326.46</v>
      </c>
    </row>
    <row r="36" spans="1:9">
      <c r="A36" s="2" t="s">
        <v>97</v>
      </c>
      <c r="B36" s="2" t="s">
        <v>34</v>
      </c>
      <c r="C36" s="2" t="s">
        <v>17</v>
      </c>
      <c r="D36" s="2" t="s">
        <v>43</v>
      </c>
      <c r="E36" s="2">
        <v>4</v>
      </c>
      <c r="F36" s="3">
        <v>118.01</v>
      </c>
      <c r="G36" s="4" t="s">
        <v>98</v>
      </c>
      <c r="H36" s="2" t="s">
        <v>14</v>
      </c>
      <c r="I36" s="3">
        <v>472.04</v>
      </c>
    </row>
    <row r="37" spans="1:9">
      <c r="A37" s="2" t="s">
        <v>99</v>
      </c>
      <c r="B37" s="2" t="s">
        <v>34</v>
      </c>
      <c r="C37" s="2" t="s">
        <v>31</v>
      </c>
      <c r="D37" s="2" t="s">
        <v>12</v>
      </c>
      <c r="E37" s="2">
        <v>13</v>
      </c>
      <c r="F37" s="3">
        <v>335.98</v>
      </c>
      <c r="G37" s="4" t="s">
        <v>100</v>
      </c>
      <c r="H37" s="2" t="s">
        <v>14</v>
      </c>
      <c r="I37" s="3">
        <v>4367.74</v>
      </c>
    </row>
    <row r="38" spans="1:9">
      <c r="A38" s="2" t="s">
        <v>101</v>
      </c>
      <c r="B38" s="2" t="s">
        <v>10</v>
      </c>
      <c r="C38" s="2" t="s">
        <v>35</v>
      </c>
      <c r="D38" s="2" t="s">
        <v>12</v>
      </c>
      <c r="E38" s="2">
        <v>17</v>
      </c>
      <c r="F38" s="3">
        <v>68.95</v>
      </c>
      <c r="G38" s="4" t="s">
        <v>28</v>
      </c>
      <c r="H38" s="2" t="s">
        <v>19</v>
      </c>
      <c r="I38" s="3">
        <v>1172.1500000000001</v>
      </c>
    </row>
    <row r="39" spans="1:9">
      <c r="A39" s="2" t="s">
        <v>102</v>
      </c>
      <c r="B39" s="2" t="s">
        <v>10</v>
      </c>
      <c r="C39" s="2" t="s">
        <v>31</v>
      </c>
      <c r="D39" s="2" t="s">
        <v>27</v>
      </c>
      <c r="E39" s="2">
        <v>17</v>
      </c>
      <c r="F39" s="3">
        <v>413.04</v>
      </c>
      <c r="G39" s="4" t="s">
        <v>103</v>
      </c>
      <c r="H39" s="2" t="s">
        <v>14</v>
      </c>
      <c r="I39" s="3">
        <v>7021.68</v>
      </c>
    </row>
    <row r="40" spans="1:9">
      <c r="A40" s="2" t="s">
        <v>104</v>
      </c>
      <c r="B40" s="2" t="s">
        <v>38</v>
      </c>
      <c r="C40" s="2" t="s">
        <v>22</v>
      </c>
      <c r="D40" s="2" t="s">
        <v>12</v>
      </c>
      <c r="E40" s="2">
        <v>17</v>
      </c>
      <c r="F40" s="3">
        <v>54.26</v>
      </c>
      <c r="G40" s="4" t="s">
        <v>105</v>
      </c>
      <c r="H40" s="2" t="s">
        <v>24</v>
      </c>
      <c r="I40" s="3">
        <v>922.42</v>
      </c>
    </row>
    <row r="41" spans="1:9">
      <c r="A41" s="2" t="s">
        <v>106</v>
      </c>
      <c r="B41" s="2" t="s">
        <v>16</v>
      </c>
      <c r="C41" s="2" t="s">
        <v>11</v>
      </c>
      <c r="D41" s="2" t="s">
        <v>27</v>
      </c>
      <c r="E41" s="2">
        <v>1</v>
      </c>
      <c r="F41" s="3">
        <v>163.97</v>
      </c>
      <c r="G41" s="4" t="s">
        <v>44</v>
      </c>
      <c r="H41" s="2" t="s">
        <v>29</v>
      </c>
      <c r="I41" s="3">
        <v>163.97</v>
      </c>
    </row>
    <row r="42" spans="1:9">
      <c r="A42" s="2" t="s">
        <v>107</v>
      </c>
      <c r="B42" s="2" t="s">
        <v>34</v>
      </c>
      <c r="C42" s="2" t="s">
        <v>11</v>
      </c>
      <c r="D42" s="2" t="s">
        <v>43</v>
      </c>
      <c r="E42" s="2">
        <v>18</v>
      </c>
      <c r="F42" s="3">
        <v>226.52</v>
      </c>
      <c r="G42" s="4" t="s">
        <v>56</v>
      </c>
      <c r="H42" s="2" t="s">
        <v>19</v>
      </c>
      <c r="I42" s="3">
        <v>4077.36</v>
      </c>
    </row>
    <row r="43" spans="1:9">
      <c r="A43" s="2" t="s">
        <v>108</v>
      </c>
      <c r="B43" s="2" t="s">
        <v>38</v>
      </c>
      <c r="C43" s="2" t="s">
        <v>69</v>
      </c>
      <c r="D43" s="2" t="s">
        <v>27</v>
      </c>
      <c r="E43" s="2">
        <v>2</v>
      </c>
      <c r="F43" s="3">
        <v>311.87</v>
      </c>
      <c r="G43" s="4" t="s">
        <v>80</v>
      </c>
      <c r="H43" s="2" t="s">
        <v>24</v>
      </c>
      <c r="I43" s="3">
        <v>623.74</v>
      </c>
    </row>
    <row r="44" spans="1:9">
      <c r="A44" s="2" t="s">
        <v>109</v>
      </c>
      <c r="B44" s="2" t="s">
        <v>16</v>
      </c>
      <c r="C44" s="2" t="s">
        <v>69</v>
      </c>
      <c r="D44" s="2" t="s">
        <v>27</v>
      </c>
      <c r="E44" s="2">
        <v>19</v>
      </c>
      <c r="F44" s="3">
        <v>373.58</v>
      </c>
      <c r="G44" s="4" t="s">
        <v>110</v>
      </c>
      <c r="H44" s="2" t="s">
        <v>19</v>
      </c>
      <c r="I44" s="3">
        <v>7098.02</v>
      </c>
    </row>
    <row r="45" spans="1:9">
      <c r="A45" s="2" t="s">
        <v>111</v>
      </c>
      <c r="B45" s="2" t="s">
        <v>38</v>
      </c>
      <c r="C45" s="2" t="s">
        <v>69</v>
      </c>
      <c r="D45" s="2" t="s">
        <v>12</v>
      </c>
      <c r="E45" s="2">
        <v>9</v>
      </c>
      <c r="F45" s="3">
        <v>336.66</v>
      </c>
      <c r="G45" s="4" t="s">
        <v>112</v>
      </c>
      <c r="H45" s="2" t="s">
        <v>24</v>
      </c>
      <c r="I45" s="3">
        <v>3029.94</v>
      </c>
    </row>
    <row r="46" spans="1:9">
      <c r="A46" s="2" t="s">
        <v>113</v>
      </c>
      <c r="B46" s="2" t="s">
        <v>10</v>
      </c>
      <c r="C46" s="2" t="s">
        <v>69</v>
      </c>
      <c r="D46" s="2" t="s">
        <v>43</v>
      </c>
      <c r="E46" s="2">
        <v>17</v>
      </c>
      <c r="F46" s="3">
        <v>392.7</v>
      </c>
      <c r="G46" s="4" t="s">
        <v>114</v>
      </c>
      <c r="H46" s="2" t="s">
        <v>14</v>
      </c>
      <c r="I46" s="3">
        <v>6675.9</v>
      </c>
    </row>
    <row r="47" spans="1:9">
      <c r="A47" s="2" t="s">
        <v>115</v>
      </c>
      <c r="B47" s="2" t="s">
        <v>82</v>
      </c>
      <c r="C47" s="2" t="s">
        <v>22</v>
      </c>
      <c r="D47" s="2" t="s">
        <v>12</v>
      </c>
      <c r="E47" s="2">
        <v>1</v>
      </c>
      <c r="F47" s="3">
        <v>130.96</v>
      </c>
      <c r="G47" s="4" t="s">
        <v>116</v>
      </c>
      <c r="H47" s="2" t="s">
        <v>29</v>
      </c>
      <c r="I47" s="3">
        <v>130.96</v>
      </c>
    </row>
    <row r="48" spans="1:9">
      <c r="A48" s="2" t="s">
        <v>117</v>
      </c>
      <c r="B48" s="2" t="s">
        <v>16</v>
      </c>
      <c r="C48" s="2" t="s">
        <v>69</v>
      </c>
      <c r="D48" s="2" t="s">
        <v>27</v>
      </c>
      <c r="E48" s="2">
        <v>3</v>
      </c>
      <c r="F48" s="3">
        <v>227.46</v>
      </c>
      <c r="G48" s="4" t="s">
        <v>59</v>
      </c>
      <c r="H48" s="2" t="s">
        <v>24</v>
      </c>
      <c r="I48" s="3">
        <v>682.38</v>
      </c>
    </row>
    <row r="49" spans="1:9">
      <c r="A49" s="2" t="s">
        <v>118</v>
      </c>
      <c r="B49" s="2" t="s">
        <v>48</v>
      </c>
      <c r="C49" s="2" t="s">
        <v>17</v>
      </c>
      <c r="D49" s="2" t="s">
        <v>12</v>
      </c>
      <c r="E49" s="2">
        <v>5</v>
      </c>
      <c r="F49" s="3">
        <v>259.26</v>
      </c>
      <c r="G49" s="4" t="s">
        <v>119</v>
      </c>
      <c r="H49" s="2" t="s">
        <v>29</v>
      </c>
      <c r="I49" s="3">
        <v>1296.3</v>
      </c>
    </row>
    <row r="50" spans="1:9">
      <c r="A50" s="2" t="s">
        <v>120</v>
      </c>
      <c r="B50" s="2" t="s">
        <v>48</v>
      </c>
      <c r="C50" s="2" t="s">
        <v>17</v>
      </c>
      <c r="D50" s="2" t="s">
        <v>27</v>
      </c>
      <c r="E50" s="2">
        <v>20</v>
      </c>
      <c r="F50" s="3">
        <v>475.21</v>
      </c>
      <c r="G50" s="4" t="s">
        <v>119</v>
      </c>
      <c r="H50" s="2" t="s">
        <v>14</v>
      </c>
      <c r="I50" s="3">
        <v>9504.2000000000007</v>
      </c>
    </row>
    <row r="51" spans="1:9">
      <c r="A51" s="2" t="s">
        <v>121</v>
      </c>
      <c r="B51" s="2" t="s">
        <v>16</v>
      </c>
      <c r="C51" s="2" t="s">
        <v>58</v>
      </c>
      <c r="D51" s="2" t="s">
        <v>43</v>
      </c>
      <c r="E51" s="2">
        <v>13</v>
      </c>
      <c r="F51" s="3">
        <v>401.92</v>
      </c>
      <c r="G51" s="4" t="s">
        <v>89</v>
      </c>
      <c r="H51" s="2" t="s">
        <v>29</v>
      </c>
      <c r="I51" s="3">
        <v>5224.96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zoomScaleNormal="100" workbookViewId="0">
      <selection activeCell="B1" sqref="B1:B1048576"/>
    </sheetView>
  </sheetViews>
  <sheetFormatPr defaultColWidth="8.7109375" defaultRowHeight="15"/>
  <cols>
    <col min="1" max="1" width="14" bestFit="1" customWidth="1"/>
    <col min="2" max="2" width="24.85546875" customWidth="1"/>
    <col min="3" max="4" width="15" customWidth="1"/>
    <col min="5" max="6" width="12" customWidth="1"/>
    <col min="7" max="7" width="19.28515625" bestFit="1" customWidth="1"/>
  </cols>
  <sheetData>
    <row r="1" spans="1:7">
      <c r="A1" s="1" t="s">
        <v>122</v>
      </c>
      <c r="B1" s="1" t="s">
        <v>123</v>
      </c>
      <c r="C1" s="1" t="s">
        <v>124</v>
      </c>
      <c r="D1" s="1" t="s">
        <v>125</v>
      </c>
      <c r="E1" s="1" t="s">
        <v>126</v>
      </c>
      <c r="F1" s="1" t="s">
        <v>127</v>
      </c>
      <c r="G1" s="1" t="s">
        <v>128</v>
      </c>
    </row>
    <row r="2" spans="1:7">
      <c r="A2" s="2" t="s">
        <v>129</v>
      </c>
      <c r="B2" s="16" t="s">
        <v>217</v>
      </c>
      <c r="C2" s="2" t="s">
        <v>130</v>
      </c>
      <c r="D2" s="2" t="s">
        <v>131</v>
      </c>
      <c r="E2" s="4" t="s">
        <v>132</v>
      </c>
      <c r="F2" s="5">
        <v>147552</v>
      </c>
      <c r="G2" s="2">
        <v>9</v>
      </c>
    </row>
    <row r="3" spans="1:7">
      <c r="A3" s="2" t="s">
        <v>133</v>
      </c>
      <c r="B3" s="16" t="s">
        <v>218</v>
      </c>
      <c r="C3" s="2" t="s">
        <v>134</v>
      </c>
      <c r="D3" s="2" t="s">
        <v>135</v>
      </c>
      <c r="E3" s="4" t="s">
        <v>136</v>
      </c>
      <c r="F3" s="5">
        <v>139890</v>
      </c>
      <c r="G3" s="2">
        <v>2</v>
      </c>
    </row>
    <row r="4" spans="1:7">
      <c r="A4" s="2" t="s">
        <v>137</v>
      </c>
      <c r="B4" s="16" t="s">
        <v>219</v>
      </c>
      <c r="C4" s="2" t="s">
        <v>138</v>
      </c>
      <c r="D4" s="2" t="s">
        <v>139</v>
      </c>
      <c r="E4" s="4" t="s">
        <v>140</v>
      </c>
      <c r="F4" s="5">
        <v>123905</v>
      </c>
      <c r="G4" s="2">
        <v>5</v>
      </c>
    </row>
    <row r="5" spans="1:7">
      <c r="A5" s="2" t="s">
        <v>141</v>
      </c>
      <c r="B5" s="16" t="s">
        <v>220</v>
      </c>
      <c r="C5" s="2" t="s">
        <v>142</v>
      </c>
      <c r="D5" s="2" t="s">
        <v>135</v>
      </c>
      <c r="E5" s="4" t="s">
        <v>143</v>
      </c>
      <c r="F5" s="5">
        <v>56102</v>
      </c>
      <c r="G5" s="2">
        <v>9</v>
      </c>
    </row>
    <row r="6" spans="1:7">
      <c r="A6" s="2" t="s">
        <v>144</v>
      </c>
      <c r="B6" s="16" t="s">
        <v>221</v>
      </c>
      <c r="C6" s="2" t="s">
        <v>134</v>
      </c>
      <c r="D6" s="2" t="s">
        <v>139</v>
      </c>
      <c r="E6" s="4" t="s">
        <v>145</v>
      </c>
      <c r="F6" s="5">
        <v>148862</v>
      </c>
      <c r="G6" s="2">
        <v>9</v>
      </c>
    </row>
    <row r="7" spans="1:7">
      <c r="A7" s="2" t="s">
        <v>146</v>
      </c>
      <c r="B7" s="16" t="s">
        <v>222</v>
      </c>
      <c r="C7" s="2" t="s">
        <v>134</v>
      </c>
      <c r="D7" s="2" t="s">
        <v>135</v>
      </c>
      <c r="E7" s="4" t="s">
        <v>147</v>
      </c>
      <c r="F7" s="5">
        <v>99311</v>
      </c>
      <c r="G7" s="2">
        <v>5</v>
      </c>
    </row>
    <row r="8" spans="1:7">
      <c r="A8" s="2" t="s">
        <v>148</v>
      </c>
      <c r="B8" s="16" t="s">
        <v>223</v>
      </c>
      <c r="C8" s="2" t="s">
        <v>130</v>
      </c>
      <c r="D8" s="2" t="s">
        <v>135</v>
      </c>
      <c r="E8" s="4" t="s">
        <v>149</v>
      </c>
      <c r="F8" s="5">
        <v>42178</v>
      </c>
      <c r="G8" s="2">
        <v>3</v>
      </c>
    </row>
    <row r="9" spans="1:7">
      <c r="A9" s="2" t="s">
        <v>150</v>
      </c>
      <c r="B9" s="16" t="s">
        <v>224</v>
      </c>
      <c r="C9" s="2" t="s">
        <v>142</v>
      </c>
      <c r="D9" s="2" t="s">
        <v>131</v>
      </c>
      <c r="E9" s="4" t="s">
        <v>151</v>
      </c>
      <c r="F9" s="5">
        <v>58169</v>
      </c>
      <c r="G9" s="2">
        <v>6</v>
      </c>
    </row>
    <row r="10" spans="1:7">
      <c r="A10" s="2" t="s">
        <v>152</v>
      </c>
      <c r="B10" s="16" t="s">
        <v>225</v>
      </c>
      <c r="C10" s="2" t="s">
        <v>153</v>
      </c>
      <c r="D10" s="2" t="s">
        <v>154</v>
      </c>
      <c r="E10" s="4" t="s">
        <v>155</v>
      </c>
      <c r="F10" s="5">
        <v>141416</v>
      </c>
      <c r="G10" s="2">
        <v>4</v>
      </c>
    </row>
    <row r="11" spans="1:7">
      <c r="A11" s="2" t="s">
        <v>156</v>
      </c>
      <c r="B11" s="16" t="s">
        <v>226</v>
      </c>
      <c r="C11" s="2" t="s">
        <v>157</v>
      </c>
      <c r="D11" s="2" t="s">
        <v>135</v>
      </c>
      <c r="E11" s="4" t="s">
        <v>158</v>
      </c>
      <c r="F11" s="5">
        <v>96946</v>
      </c>
      <c r="G11" s="2">
        <v>4</v>
      </c>
    </row>
    <row r="12" spans="1:7">
      <c r="A12" s="2" t="s">
        <v>159</v>
      </c>
      <c r="B12" s="16" t="s">
        <v>227</v>
      </c>
      <c r="C12" s="2" t="s">
        <v>142</v>
      </c>
      <c r="D12" s="2" t="s">
        <v>160</v>
      </c>
      <c r="E12" s="4" t="s">
        <v>161</v>
      </c>
      <c r="F12" s="5">
        <v>83418</v>
      </c>
      <c r="G12" s="2">
        <v>6</v>
      </c>
    </row>
    <row r="13" spans="1:7">
      <c r="A13" s="2" t="s">
        <v>162</v>
      </c>
      <c r="B13" s="16" t="s">
        <v>228</v>
      </c>
      <c r="C13" s="2" t="s">
        <v>134</v>
      </c>
      <c r="D13" s="2" t="s">
        <v>139</v>
      </c>
      <c r="E13" s="4" t="s">
        <v>163</v>
      </c>
      <c r="F13" s="5">
        <v>48269</v>
      </c>
      <c r="G13" s="2">
        <v>3</v>
      </c>
    </row>
    <row r="14" spans="1:7">
      <c r="A14" s="2" t="s">
        <v>164</v>
      </c>
      <c r="B14" s="16" t="s">
        <v>229</v>
      </c>
      <c r="C14" s="2" t="s">
        <v>157</v>
      </c>
      <c r="D14" s="2" t="s">
        <v>165</v>
      </c>
      <c r="E14" s="4" t="s">
        <v>166</v>
      </c>
      <c r="F14" s="5">
        <v>111912</v>
      </c>
      <c r="G14" s="2">
        <v>1</v>
      </c>
    </row>
    <row r="15" spans="1:7">
      <c r="A15" s="2" t="s">
        <v>167</v>
      </c>
      <c r="B15" s="16" t="s">
        <v>230</v>
      </c>
      <c r="C15" s="2" t="s">
        <v>157</v>
      </c>
      <c r="D15" s="2" t="s">
        <v>139</v>
      </c>
      <c r="E15" s="4" t="s">
        <v>168</v>
      </c>
      <c r="F15" s="5">
        <v>91825</v>
      </c>
      <c r="G15" s="2">
        <v>0</v>
      </c>
    </row>
    <row r="16" spans="1:7">
      <c r="A16" s="2" t="s">
        <v>169</v>
      </c>
      <c r="B16" s="16" t="s">
        <v>231</v>
      </c>
      <c r="C16" s="2" t="s">
        <v>153</v>
      </c>
      <c r="D16" s="2" t="s">
        <v>139</v>
      </c>
      <c r="E16" s="4" t="s">
        <v>170</v>
      </c>
      <c r="F16" s="5">
        <v>99556</v>
      </c>
      <c r="G16" s="2">
        <v>0</v>
      </c>
    </row>
    <row r="17" spans="1:7">
      <c r="A17" s="2" t="s">
        <v>171</v>
      </c>
      <c r="B17" s="16" t="s">
        <v>232</v>
      </c>
      <c r="C17" s="2" t="s">
        <v>130</v>
      </c>
      <c r="D17" s="2" t="s">
        <v>135</v>
      </c>
      <c r="E17" s="4" t="s">
        <v>172</v>
      </c>
      <c r="F17" s="5">
        <v>66399</v>
      </c>
      <c r="G17" s="2">
        <v>7</v>
      </c>
    </row>
    <row r="18" spans="1:7">
      <c r="A18" s="2" t="s">
        <v>173</v>
      </c>
      <c r="B18" s="16" t="s">
        <v>233</v>
      </c>
      <c r="C18" s="2" t="s">
        <v>130</v>
      </c>
      <c r="D18" s="2" t="s">
        <v>165</v>
      </c>
      <c r="E18" s="4" t="s">
        <v>174</v>
      </c>
      <c r="F18" s="5">
        <v>50094</v>
      </c>
      <c r="G18" s="2">
        <v>5</v>
      </c>
    </row>
    <row r="19" spans="1:7">
      <c r="A19" s="2" t="s">
        <v>175</v>
      </c>
      <c r="B19" s="16" t="s">
        <v>234</v>
      </c>
      <c r="C19" s="2" t="s">
        <v>142</v>
      </c>
      <c r="D19" s="2" t="s">
        <v>160</v>
      </c>
      <c r="E19" s="4" t="s">
        <v>176</v>
      </c>
      <c r="F19" s="5">
        <v>52931</v>
      </c>
      <c r="G19" s="2">
        <v>5</v>
      </c>
    </row>
    <row r="20" spans="1:7">
      <c r="A20" s="2" t="s">
        <v>177</v>
      </c>
      <c r="B20" s="16" t="s">
        <v>235</v>
      </c>
      <c r="C20" s="2" t="s">
        <v>142</v>
      </c>
      <c r="D20" s="2" t="s">
        <v>165</v>
      </c>
      <c r="E20" s="4" t="s">
        <v>178</v>
      </c>
      <c r="F20" s="5">
        <v>60639</v>
      </c>
      <c r="G20" s="2">
        <v>0</v>
      </c>
    </row>
    <row r="21" spans="1:7">
      <c r="A21" s="2" t="s">
        <v>179</v>
      </c>
      <c r="B21" s="16" t="s">
        <v>236</v>
      </c>
      <c r="C21" s="2" t="s">
        <v>157</v>
      </c>
      <c r="D21" s="2" t="s">
        <v>160</v>
      </c>
      <c r="E21" s="4" t="s">
        <v>180</v>
      </c>
      <c r="F21" s="5">
        <v>71078</v>
      </c>
      <c r="G21" s="2">
        <v>9</v>
      </c>
    </row>
    <row r="22" spans="1:7">
      <c r="A22" s="2" t="s">
        <v>181</v>
      </c>
      <c r="B22" s="16" t="s">
        <v>237</v>
      </c>
      <c r="C22" s="2" t="s">
        <v>142</v>
      </c>
      <c r="D22" s="2" t="s">
        <v>160</v>
      </c>
      <c r="E22" s="4" t="s">
        <v>182</v>
      </c>
      <c r="F22" s="5">
        <v>118165</v>
      </c>
      <c r="G22" s="2">
        <v>6</v>
      </c>
    </row>
    <row r="23" spans="1:7">
      <c r="A23" s="2" t="s">
        <v>183</v>
      </c>
      <c r="B23" s="16" t="s">
        <v>238</v>
      </c>
      <c r="C23" s="2" t="s">
        <v>138</v>
      </c>
      <c r="D23" s="2" t="s">
        <v>154</v>
      </c>
      <c r="E23" s="4" t="s">
        <v>184</v>
      </c>
      <c r="F23" s="5">
        <v>96313</v>
      </c>
      <c r="G23" s="2">
        <v>1</v>
      </c>
    </row>
    <row r="24" spans="1:7">
      <c r="A24" s="2" t="s">
        <v>185</v>
      </c>
      <c r="B24" s="16" t="s">
        <v>239</v>
      </c>
      <c r="C24" s="2" t="s">
        <v>130</v>
      </c>
      <c r="D24" s="2" t="s">
        <v>139</v>
      </c>
      <c r="E24" s="4" t="s">
        <v>186</v>
      </c>
      <c r="F24" s="5">
        <v>79009</v>
      </c>
      <c r="G24" s="2">
        <v>9</v>
      </c>
    </row>
    <row r="25" spans="1:7">
      <c r="A25" s="2" t="s">
        <v>187</v>
      </c>
      <c r="B25" s="16" t="s">
        <v>240</v>
      </c>
      <c r="C25" s="2" t="s">
        <v>157</v>
      </c>
      <c r="D25" s="2" t="s">
        <v>154</v>
      </c>
      <c r="E25" s="4" t="s">
        <v>188</v>
      </c>
      <c r="F25" s="5">
        <v>63194</v>
      </c>
      <c r="G25" s="2">
        <v>2</v>
      </c>
    </row>
    <row r="26" spans="1:7">
      <c r="A26" s="2" t="s">
        <v>189</v>
      </c>
      <c r="B26" s="16" t="s">
        <v>241</v>
      </c>
      <c r="C26" s="2" t="s">
        <v>134</v>
      </c>
      <c r="D26" s="2" t="s">
        <v>135</v>
      </c>
      <c r="E26" s="4" t="s">
        <v>190</v>
      </c>
      <c r="F26" s="5">
        <v>100966</v>
      </c>
      <c r="G26" s="2">
        <v>8</v>
      </c>
    </row>
    <row r="27" spans="1:7">
      <c r="A27" s="2" t="s">
        <v>191</v>
      </c>
      <c r="B27" s="16" t="s">
        <v>242</v>
      </c>
      <c r="C27" s="2" t="s">
        <v>157</v>
      </c>
      <c r="D27" s="2" t="s">
        <v>135</v>
      </c>
      <c r="E27" s="4" t="s">
        <v>192</v>
      </c>
      <c r="F27" s="5">
        <v>107921</v>
      </c>
      <c r="G27" s="2">
        <v>9</v>
      </c>
    </row>
    <row r="28" spans="1:7">
      <c r="A28" s="2" t="s">
        <v>193</v>
      </c>
      <c r="B28" s="16" t="s">
        <v>243</v>
      </c>
      <c r="C28" s="2" t="s">
        <v>138</v>
      </c>
      <c r="D28" s="2" t="s">
        <v>135</v>
      </c>
      <c r="E28" s="4" t="s">
        <v>194</v>
      </c>
      <c r="F28" s="5">
        <v>59073</v>
      </c>
      <c r="G28" s="2">
        <v>4</v>
      </c>
    </row>
    <row r="29" spans="1:7">
      <c r="A29" s="2" t="s">
        <v>195</v>
      </c>
      <c r="B29" s="16" t="s">
        <v>244</v>
      </c>
      <c r="C29" s="2" t="s">
        <v>153</v>
      </c>
      <c r="D29" s="2" t="s">
        <v>165</v>
      </c>
      <c r="E29" s="4" t="s">
        <v>196</v>
      </c>
      <c r="F29" s="5">
        <v>136228</v>
      </c>
      <c r="G29" s="2">
        <v>5</v>
      </c>
    </row>
    <row r="30" spans="1:7">
      <c r="A30" s="2" t="s">
        <v>197</v>
      </c>
      <c r="B30" s="16" t="s">
        <v>245</v>
      </c>
      <c r="C30" s="2" t="s">
        <v>142</v>
      </c>
      <c r="D30" s="2" t="s">
        <v>154</v>
      </c>
      <c r="E30" s="4" t="s">
        <v>198</v>
      </c>
      <c r="F30" s="5">
        <v>60661</v>
      </c>
      <c r="G30" s="2">
        <v>6</v>
      </c>
    </row>
    <row r="31" spans="1:7">
      <c r="A31" s="2" t="s">
        <v>199</v>
      </c>
      <c r="B31" s="16" t="s">
        <v>246</v>
      </c>
      <c r="C31" s="2" t="s">
        <v>153</v>
      </c>
      <c r="D31" s="2" t="s">
        <v>154</v>
      </c>
      <c r="E31" s="4" t="s">
        <v>200</v>
      </c>
      <c r="F31" s="5">
        <v>147065</v>
      </c>
      <c r="G31" s="2">
        <v>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Normal="100" workbookViewId="0">
      <selection activeCell="B17" sqref="B17"/>
    </sheetView>
  </sheetViews>
  <sheetFormatPr defaultColWidth="8.7109375" defaultRowHeight="15"/>
  <cols>
    <col min="1" max="1" width="20" customWidth="1"/>
    <col min="2" max="2" width="18" customWidth="1"/>
  </cols>
  <sheetData>
    <row r="1" spans="1:2" ht="18">
      <c r="A1" s="6" t="s">
        <v>201</v>
      </c>
    </row>
    <row r="3" spans="1:2">
      <c r="A3" t="s">
        <v>202</v>
      </c>
      <c r="B3" s="7">
        <f>COUNTA('Sales Data'!A2:A51)</f>
        <v>50</v>
      </c>
    </row>
    <row r="4" spans="1:2">
      <c r="A4" t="s">
        <v>203</v>
      </c>
      <c r="B4" s="8">
        <f>SUM('Sales Data'!I2:I51)</f>
        <v>156018.44999999995</v>
      </c>
    </row>
    <row r="5" spans="1:2">
      <c r="A5" t="s">
        <v>204</v>
      </c>
      <c r="B5" s="8">
        <f>AVERAGE('Sales Data'!I2:I51)</f>
        <v>3120.3689999999992</v>
      </c>
    </row>
    <row r="6" spans="1:2">
      <c r="A6" t="s">
        <v>205</v>
      </c>
      <c r="B6" s="7">
        <f>COUNTA('Employee Data'!A2:A31)</f>
        <v>30</v>
      </c>
    </row>
    <row r="7" spans="1:2">
      <c r="A7" t="s">
        <v>206</v>
      </c>
      <c r="B7" s="9">
        <f>AVERAGE('Employee Data'!F2:F31)</f>
        <v>91968.233333333337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abSelected="1" workbookViewId="0">
      <selection activeCell="I2" sqref="I2"/>
    </sheetView>
  </sheetViews>
  <sheetFormatPr defaultRowHeight="15"/>
  <cols>
    <col min="1" max="1" width="9.85546875" bestFit="1" customWidth="1"/>
    <col min="2" max="2" width="17" bestFit="1" customWidth="1"/>
    <col min="3" max="3" width="12.140625" bestFit="1" customWidth="1"/>
    <col min="4" max="4" width="11.28515625" bestFit="1" customWidth="1"/>
    <col min="5" max="5" width="9.7109375" bestFit="1" customWidth="1"/>
    <col min="6" max="6" width="11" bestFit="1" customWidth="1"/>
    <col min="7" max="7" width="10.7109375" bestFit="1" customWidth="1"/>
    <col min="8" max="8" width="8.28515625" bestFit="1" customWidth="1"/>
    <col min="9" max="9" width="14.85546875" bestFit="1" customWidth="1"/>
    <col min="10" max="10" width="22.85546875" bestFit="1" customWidth="1"/>
    <col min="11" max="11" width="5.5703125" bestFit="1" customWidth="1"/>
  </cols>
  <sheetData>
    <row r="1" spans="1:13">
      <c r="A1" s="1" t="s">
        <v>0</v>
      </c>
      <c r="B1" s="1" t="s">
        <v>1</v>
      </c>
      <c r="C1" s="1" t="s">
        <v>2</v>
      </c>
      <c r="D1" s="1" t="s">
        <v>3</v>
      </c>
      <c r="E1" s="1" t="s">
        <v>4</v>
      </c>
      <c r="F1" s="1" t="s">
        <v>5</v>
      </c>
      <c r="G1" s="1" t="s">
        <v>6</v>
      </c>
      <c r="H1" s="1" t="s">
        <v>7</v>
      </c>
      <c r="I1" s="1" t="s">
        <v>250</v>
      </c>
      <c r="J1" s="10" t="s">
        <v>208</v>
      </c>
      <c r="K1" s="10" t="s">
        <v>247</v>
      </c>
      <c r="L1" s="10" t="s">
        <v>248</v>
      </c>
      <c r="M1" s="10" t="s">
        <v>249</v>
      </c>
    </row>
    <row r="2" spans="1:13">
      <c r="A2" s="2" t="s">
        <v>9</v>
      </c>
      <c r="B2" s="2" t="s">
        <v>10</v>
      </c>
      <c r="C2" s="2" t="s">
        <v>11</v>
      </c>
      <c r="D2" s="2" t="s">
        <v>12</v>
      </c>
      <c r="E2" s="2">
        <v>17</v>
      </c>
      <c r="F2" s="3">
        <v>294.94</v>
      </c>
      <c r="G2" s="4" t="s">
        <v>13</v>
      </c>
      <c r="H2" s="2" t="s">
        <v>14</v>
      </c>
      <c r="I2" s="3">
        <v>5013.9799999999996</v>
      </c>
      <c r="J2" t="str">
        <f>IF(I2&gt;5000,"GOOD","NORMAL")</f>
        <v>GOOD</v>
      </c>
      <c r="K2">
        <f>DAY(G2)</f>
        <v>5</v>
      </c>
      <c r="L2" t="str">
        <f>TEXT(G2,"MMMM")</f>
        <v>March</v>
      </c>
      <c r="M2">
        <f>YEAR(G2)</f>
        <v>2024</v>
      </c>
    </row>
    <row r="3" spans="1:13">
      <c r="A3" s="2" t="s">
        <v>15</v>
      </c>
      <c r="B3" s="2" t="s">
        <v>16</v>
      </c>
      <c r="C3" s="2" t="s">
        <v>17</v>
      </c>
      <c r="D3" s="2" t="s">
        <v>12</v>
      </c>
      <c r="E3" s="2">
        <v>20</v>
      </c>
      <c r="F3" s="3">
        <v>391.93</v>
      </c>
      <c r="G3" s="4" t="s">
        <v>18</v>
      </c>
      <c r="H3" s="2" t="s">
        <v>19</v>
      </c>
      <c r="I3" s="3">
        <v>7838.6</v>
      </c>
      <c r="J3" t="str">
        <f t="shared" ref="J3:J51" si="0">IF(I3&gt;5000,"GOOD","NORMAL")</f>
        <v>GOOD</v>
      </c>
      <c r="K3">
        <f t="shared" ref="K3:K51" si="1">DAY(G3)</f>
        <v>16</v>
      </c>
      <c r="L3" t="str">
        <f t="shared" ref="L3:L51" si="2">TEXT(G3,"MMMM")</f>
        <v>February</v>
      </c>
      <c r="M3">
        <f t="shared" ref="M3:M51" si="3">YEAR(G3)</f>
        <v>2024</v>
      </c>
    </row>
    <row r="4" spans="1:13">
      <c r="A4" s="2" t="s">
        <v>20</v>
      </c>
      <c r="B4" s="2" t="s">
        <v>21</v>
      </c>
      <c r="C4" s="2" t="s">
        <v>22</v>
      </c>
      <c r="D4" s="2" t="s">
        <v>12</v>
      </c>
      <c r="E4" s="2">
        <v>13</v>
      </c>
      <c r="F4" s="3">
        <v>248.92</v>
      </c>
      <c r="G4" s="4" t="s">
        <v>23</v>
      </c>
      <c r="H4" s="2" t="s">
        <v>24</v>
      </c>
      <c r="I4" s="3">
        <v>3235.96</v>
      </c>
      <c r="J4" t="str">
        <f t="shared" si="0"/>
        <v>NORMAL</v>
      </c>
      <c r="K4">
        <f t="shared" si="1"/>
        <v>17</v>
      </c>
      <c r="L4" t="str">
        <f t="shared" si="2"/>
        <v>March</v>
      </c>
      <c r="M4">
        <f t="shared" si="3"/>
        <v>2024</v>
      </c>
    </row>
    <row r="5" spans="1:13">
      <c r="A5" s="2" t="s">
        <v>25</v>
      </c>
      <c r="B5" s="2" t="s">
        <v>10</v>
      </c>
      <c r="C5" s="2" t="s">
        <v>26</v>
      </c>
      <c r="D5" s="2" t="s">
        <v>27</v>
      </c>
      <c r="E5" s="2">
        <v>10</v>
      </c>
      <c r="F5" s="3">
        <v>373.15</v>
      </c>
      <c r="G5" s="4" t="s">
        <v>28</v>
      </c>
      <c r="H5" s="2" t="s">
        <v>29</v>
      </c>
      <c r="I5" s="3">
        <v>3731.5</v>
      </c>
      <c r="J5" t="str">
        <f t="shared" si="0"/>
        <v>NORMAL</v>
      </c>
      <c r="K5">
        <f t="shared" si="1"/>
        <v>1</v>
      </c>
      <c r="L5" t="str">
        <f t="shared" si="2"/>
        <v>January</v>
      </c>
      <c r="M5">
        <f t="shared" si="3"/>
        <v>2024</v>
      </c>
    </row>
    <row r="6" spans="1:13">
      <c r="A6" s="2" t="s">
        <v>30</v>
      </c>
      <c r="B6" s="2" t="s">
        <v>21</v>
      </c>
      <c r="C6" s="2" t="s">
        <v>31</v>
      </c>
      <c r="D6" s="2" t="s">
        <v>27</v>
      </c>
      <c r="E6" s="2">
        <v>16</v>
      </c>
      <c r="F6" s="3">
        <v>394.59</v>
      </c>
      <c r="G6" s="4" t="s">
        <v>32</v>
      </c>
      <c r="H6" s="2" t="s">
        <v>24</v>
      </c>
      <c r="I6" s="3">
        <v>6313.44</v>
      </c>
      <c r="J6" t="str">
        <f t="shared" si="0"/>
        <v>GOOD</v>
      </c>
      <c r="K6">
        <f t="shared" si="1"/>
        <v>13</v>
      </c>
      <c r="L6" t="str">
        <f t="shared" si="2"/>
        <v>February</v>
      </c>
      <c r="M6">
        <f t="shared" si="3"/>
        <v>2024</v>
      </c>
    </row>
    <row r="7" spans="1:13">
      <c r="A7" s="2" t="s">
        <v>33</v>
      </c>
      <c r="B7" s="2" t="s">
        <v>34</v>
      </c>
      <c r="C7" s="2" t="s">
        <v>35</v>
      </c>
      <c r="D7" s="2" t="s">
        <v>27</v>
      </c>
      <c r="E7" s="2">
        <v>8</v>
      </c>
      <c r="F7" s="3">
        <v>335.63</v>
      </c>
      <c r="G7" s="4" t="s">
        <v>36</v>
      </c>
      <c r="H7" s="2" t="s">
        <v>24</v>
      </c>
      <c r="I7" s="3">
        <v>2685.04</v>
      </c>
      <c r="J7" t="str">
        <f t="shared" si="0"/>
        <v>NORMAL</v>
      </c>
      <c r="K7">
        <f t="shared" si="1"/>
        <v>30</v>
      </c>
      <c r="L7" t="str">
        <f t="shared" si="2"/>
        <v>March</v>
      </c>
      <c r="M7">
        <f t="shared" si="3"/>
        <v>2024</v>
      </c>
    </row>
    <row r="8" spans="1:13">
      <c r="A8" s="2" t="s">
        <v>37</v>
      </c>
      <c r="B8" s="2" t="s">
        <v>38</v>
      </c>
      <c r="C8" s="2" t="s">
        <v>11</v>
      </c>
      <c r="D8" s="2" t="s">
        <v>12</v>
      </c>
      <c r="E8" s="2">
        <v>16</v>
      </c>
      <c r="F8" s="3">
        <v>388.1</v>
      </c>
      <c r="G8" s="4" t="s">
        <v>39</v>
      </c>
      <c r="H8" s="2" t="s">
        <v>19</v>
      </c>
      <c r="I8" s="3">
        <v>6209.6</v>
      </c>
      <c r="J8" t="str">
        <f t="shared" si="0"/>
        <v>GOOD</v>
      </c>
      <c r="K8">
        <f t="shared" si="1"/>
        <v>4</v>
      </c>
      <c r="L8" t="str">
        <f t="shared" si="2"/>
        <v>March</v>
      </c>
      <c r="M8">
        <f t="shared" si="3"/>
        <v>2024</v>
      </c>
    </row>
    <row r="9" spans="1:13">
      <c r="A9" s="2" t="s">
        <v>40</v>
      </c>
      <c r="B9" s="2" t="s">
        <v>16</v>
      </c>
      <c r="C9" s="2" t="s">
        <v>26</v>
      </c>
      <c r="D9" s="2" t="s">
        <v>12</v>
      </c>
      <c r="E9" s="2">
        <v>19</v>
      </c>
      <c r="F9" s="3">
        <v>98.11</v>
      </c>
      <c r="G9" s="4" t="s">
        <v>41</v>
      </c>
      <c r="H9" s="2" t="s">
        <v>24</v>
      </c>
      <c r="I9" s="3">
        <v>1864.09</v>
      </c>
      <c r="J9" t="str">
        <f t="shared" si="0"/>
        <v>NORMAL</v>
      </c>
      <c r="K9">
        <f t="shared" si="1"/>
        <v>23</v>
      </c>
      <c r="L9" t="str">
        <f t="shared" si="2"/>
        <v>January</v>
      </c>
      <c r="M9">
        <f t="shared" si="3"/>
        <v>2024</v>
      </c>
    </row>
    <row r="10" spans="1:13">
      <c r="A10" s="2" t="s">
        <v>42</v>
      </c>
      <c r="B10" s="2" t="s">
        <v>10</v>
      </c>
      <c r="C10" s="2" t="s">
        <v>26</v>
      </c>
      <c r="D10" s="2" t="s">
        <v>43</v>
      </c>
      <c r="E10" s="2">
        <v>11</v>
      </c>
      <c r="F10" s="3">
        <v>437.7</v>
      </c>
      <c r="G10" s="4" t="s">
        <v>44</v>
      </c>
      <c r="H10" s="2" t="s">
        <v>14</v>
      </c>
      <c r="I10" s="3">
        <v>4814.7</v>
      </c>
      <c r="J10" t="str">
        <f t="shared" si="0"/>
        <v>NORMAL</v>
      </c>
      <c r="K10">
        <f t="shared" si="1"/>
        <v>20</v>
      </c>
      <c r="L10" t="str">
        <f t="shared" si="2"/>
        <v>February</v>
      </c>
      <c r="M10">
        <f t="shared" si="3"/>
        <v>2024</v>
      </c>
    </row>
    <row r="11" spans="1:13">
      <c r="A11" s="2" t="s">
        <v>45</v>
      </c>
      <c r="B11" s="2" t="s">
        <v>21</v>
      </c>
      <c r="C11" s="2" t="s">
        <v>35</v>
      </c>
      <c r="D11" s="2" t="s">
        <v>12</v>
      </c>
      <c r="E11" s="2">
        <v>16</v>
      </c>
      <c r="F11" s="3">
        <v>66.86</v>
      </c>
      <c r="G11" s="4" t="s">
        <v>46</v>
      </c>
      <c r="H11" s="2" t="s">
        <v>29</v>
      </c>
      <c r="I11" s="3">
        <v>1069.76</v>
      </c>
      <c r="J11" t="str">
        <f t="shared" si="0"/>
        <v>NORMAL</v>
      </c>
      <c r="K11">
        <f t="shared" si="1"/>
        <v>1</v>
      </c>
      <c r="L11" t="str">
        <f t="shared" si="2"/>
        <v>February</v>
      </c>
      <c r="M11">
        <f t="shared" si="3"/>
        <v>2024</v>
      </c>
    </row>
    <row r="12" spans="1:13">
      <c r="A12" s="2" t="s">
        <v>47</v>
      </c>
      <c r="B12" s="2" t="s">
        <v>48</v>
      </c>
      <c r="C12" s="2" t="s">
        <v>35</v>
      </c>
      <c r="D12" s="2" t="s">
        <v>43</v>
      </c>
      <c r="E12" s="2">
        <v>19</v>
      </c>
      <c r="F12" s="3">
        <v>17.43</v>
      </c>
      <c r="G12" s="4" t="s">
        <v>49</v>
      </c>
      <c r="H12" s="2" t="s">
        <v>29</v>
      </c>
      <c r="I12" s="3">
        <v>331.17</v>
      </c>
      <c r="J12" t="str">
        <f t="shared" si="0"/>
        <v>NORMAL</v>
      </c>
      <c r="K12">
        <f t="shared" si="1"/>
        <v>19</v>
      </c>
      <c r="L12" t="str">
        <f t="shared" si="2"/>
        <v>March</v>
      </c>
      <c r="M12">
        <f t="shared" si="3"/>
        <v>2024</v>
      </c>
    </row>
    <row r="13" spans="1:13">
      <c r="A13" s="2" t="s">
        <v>50</v>
      </c>
      <c r="B13" s="2" t="s">
        <v>10</v>
      </c>
      <c r="C13" s="2" t="s">
        <v>31</v>
      </c>
      <c r="D13" s="2" t="s">
        <v>43</v>
      </c>
      <c r="E13" s="2">
        <v>16</v>
      </c>
      <c r="F13" s="3">
        <v>268.31</v>
      </c>
      <c r="G13" s="4" t="s">
        <v>36</v>
      </c>
      <c r="H13" s="2" t="s">
        <v>14</v>
      </c>
      <c r="I13" s="3">
        <v>4292.96</v>
      </c>
      <c r="J13" t="str">
        <f t="shared" si="0"/>
        <v>NORMAL</v>
      </c>
      <c r="K13">
        <f t="shared" si="1"/>
        <v>30</v>
      </c>
      <c r="L13" t="str">
        <f t="shared" si="2"/>
        <v>March</v>
      </c>
      <c r="M13">
        <f t="shared" si="3"/>
        <v>2024</v>
      </c>
    </row>
    <row r="14" spans="1:13">
      <c r="A14" s="2" t="s">
        <v>51</v>
      </c>
      <c r="B14" s="2" t="s">
        <v>38</v>
      </c>
      <c r="C14" s="2" t="s">
        <v>35</v>
      </c>
      <c r="D14" s="2" t="s">
        <v>27</v>
      </c>
      <c r="E14" s="2">
        <v>16</v>
      </c>
      <c r="F14" s="3">
        <v>296.85000000000002</v>
      </c>
      <c r="G14" s="4" t="s">
        <v>52</v>
      </c>
      <c r="H14" s="2" t="s">
        <v>29</v>
      </c>
      <c r="I14" s="3">
        <v>4749.6000000000004</v>
      </c>
      <c r="J14" t="str">
        <f t="shared" si="0"/>
        <v>NORMAL</v>
      </c>
      <c r="K14">
        <f t="shared" si="1"/>
        <v>18</v>
      </c>
      <c r="L14" t="str">
        <f t="shared" si="2"/>
        <v>January</v>
      </c>
      <c r="M14">
        <f t="shared" si="3"/>
        <v>2024</v>
      </c>
    </row>
    <row r="15" spans="1:13">
      <c r="A15" s="2" t="s">
        <v>53</v>
      </c>
      <c r="B15" s="2" t="s">
        <v>16</v>
      </c>
      <c r="C15" s="2" t="s">
        <v>22</v>
      </c>
      <c r="D15" s="2" t="s">
        <v>12</v>
      </c>
      <c r="E15" s="2">
        <v>6</v>
      </c>
      <c r="F15" s="3">
        <v>204.97</v>
      </c>
      <c r="G15" s="4" t="s">
        <v>54</v>
      </c>
      <c r="H15" s="2" t="s">
        <v>29</v>
      </c>
      <c r="I15" s="3">
        <v>1229.82</v>
      </c>
      <c r="J15" t="str">
        <f t="shared" si="0"/>
        <v>NORMAL</v>
      </c>
      <c r="K15">
        <f t="shared" si="1"/>
        <v>12</v>
      </c>
      <c r="L15" t="str">
        <f t="shared" si="2"/>
        <v>February</v>
      </c>
      <c r="M15">
        <f t="shared" si="3"/>
        <v>2024</v>
      </c>
    </row>
    <row r="16" spans="1:13">
      <c r="A16" s="2" t="s">
        <v>55</v>
      </c>
      <c r="B16" s="2" t="s">
        <v>10</v>
      </c>
      <c r="C16" s="2" t="s">
        <v>11</v>
      </c>
      <c r="D16" s="2" t="s">
        <v>12</v>
      </c>
      <c r="E16" s="2">
        <v>18</v>
      </c>
      <c r="F16" s="3">
        <v>186.64</v>
      </c>
      <c r="G16" s="4" t="s">
        <v>56</v>
      </c>
      <c r="H16" s="2" t="s">
        <v>24</v>
      </c>
      <c r="I16" s="3">
        <v>3359.52</v>
      </c>
      <c r="J16" t="str">
        <f t="shared" si="0"/>
        <v>NORMAL</v>
      </c>
      <c r="K16">
        <f t="shared" si="1"/>
        <v>15</v>
      </c>
      <c r="L16" t="str">
        <f t="shared" si="2"/>
        <v>January</v>
      </c>
      <c r="M16">
        <f t="shared" si="3"/>
        <v>2024</v>
      </c>
    </row>
    <row r="17" spans="1:13">
      <c r="A17" s="2" t="s">
        <v>57</v>
      </c>
      <c r="B17" s="2" t="s">
        <v>16</v>
      </c>
      <c r="C17" s="2" t="s">
        <v>58</v>
      </c>
      <c r="D17" s="2" t="s">
        <v>43</v>
      </c>
      <c r="E17" s="2">
        <v>20</v>
      </c>
      <c r="F17" s="3">
        <v>188.51</v>
      </c>
      <c r="G17" s="4" t="s">
        <v>59</v>
      </c>
      <c r="H17" s="2" t="s">
        <v>29</v>
      </c>
      <c r="I17" s="3">
        <v>3770.2</v>
      </c>
      <c r="J17" t="str">
        <f t="shared" si="0"/>
        <v>NORMAL</v>
      </c>
      <c r="K17">
        <f t="shared" si="1"/>
        <v>10</v>
      </c>
      <c r="L17" t="str">
        <f t="shared" si="2"/>
        <v>March</v>
      </c>
      <c r="M17">
        <f t="shared" si="3"/>
        <v>2024</v>
      </c>
    </row>
    <row r="18" spans="1:13">
      <c r="A18" s="2" t="s">
        <v>60</v>
      </c>
      <c r="B18" s="2" t="s">
        <v>10</v>
      </c>
      <c r="C18" s="2" t="s">
        <v>58</v>
      </c>
      <c r="D18" s="2" t="s">
        <v>12</v>
      </c>
      <c r="E18" s="2">
        <v>2</v>
      </c>
      <c r="F18" s="3">
        <v>489.55</v>
      </c>
      <c r="G18" s="4" t="s">
        <v>61</v>
      </c>
      <c r="H18" s="2" t="s">
        <v>14</v>
      </c>
      <c r="I18" s="3">
        <v>979.1</v>
      </c>
      <c r="J18" t="str">
        <f t="shared" si="0"/>
        <v>NORMAL</v>
      </c>
      <c r="K18">
        <f t="shared" si="1"/>
        <v>14</v>
      </c>
      <c r="L18" t="str">
        <f t="shared" si="2"/>
        <v>February</v>
      </c>
      <c r="M18">
        <f t="shared" si="3"/>
        <v>2024</v>
      </c>
    </row>
    <row r="19" spans="1:13">
      <c r="A19" s="2" t="s">
        <v>62</v>
      </c>
      <c r="B19" s="2" t="s">
        <v>16</v>
      </c>
      <c r="C19" s="2" t="s">
        <v>31</v>
      </c>
      <c r="D19" s="2" t="s">
        <v>27</v>
      </c>
      <c r="E19" s="2">
        <v>3</v>
      </c>
      <c r="F19" s="3">
        <v>396.43</v>
      </c>
      <c r="G19" s="4" t="s">
        <v>63</v>
      </c>
      <c r="H19" s="2" t="s">
        <v>19</v>
      </c>
      <c r="I19" s="3">
        <v>1189.29</v>
      </c>
      <c r="J19" t="str">
        <f t="shared" si="0"/>
        <v>NORMAL</v>
      </c>
      <c r="K19">
        <f t="shared" si="1"/>
        <v>22</v>
      </c>
      <c r="L19" t="str">
        <f t="shared" si="2"/>
        <v>February</v>
      </c>
      <c r="M19">
        <f t="shared" si="3"/>
        <v>2024</v>
      </c>
    </row>
    <row r="20" spans="1:13">
      <c r="A20" s="2" t="s">
        <v>64</v>
      </c>
      <c r="B20" s="2" t="s">
        <v>10</v>
      </c>
      <c r="C20" s="2" t="s">
        <v>26</v>
      </c>
      <c r="D20" s="2" t="s">
        <v>43</v>
      </c>
      <c r="E20" s="2">
        <v>17</v>
      </c>
      <c r="F20" s="3">
        <v>174.54</v>
      </c>
      <c r="G20" s="4" t="s">
        <v>65</v>
      </c>
      <c r="H20" s="2" t="s">
        <v>29</v>
      </c>
      <c r="I20" s="3">
        <v>2967.18</v>
      </c>
      <c r="J20" t="str">
        <f t="shared" si="0"/>
        <v>NORMAL</v>
      </c>
      <c r="K20">
        <f t="shared" si="1"/>
        <v>14</v>
      </c>
      <c r="L20" t="str">
        <f t="shared" si="2"/>
        <v>January</v>
      </c>
      <c r="M20">
        <f t="shared" si="3"/>
        <v>2024</v>
      </c>
    </row>
    <row r="21" spans="1:13">
      <c r="A21" s="2" t="s">
        <v>66</v>
      </c>
      <c r="B21" s="2" t="s">
        <v>21</v>
      </c>
      <c r="C21" s="2" t="s">
        <v>26</v>
      </c>
      <c r="D21" s="2" t="s">
        <v>27</v>
      </c>
      <c r="E21" s="2">
        <v>2</v>
      </c>
      <c r="F21" s="3">
        <v>415.51</v>
      </c>
      <c r="G21" s="4" t="s">
        <v>67</v>
      </c>
      <c r="H21" s="2" t="s">
        <v>14</v>
      </c>
      <c r="I21" s="3">
        <v>831.02</v>
      </c>
      <c r="J21" t="str">
        <f t="shared" si="0"/>
        <v>NORMAL</v>
      </c>
      <c r="K21">
        <f t="shared" si="1"/>
        <v>31</v>
      </c>
      <c r="L21" t="str">
        <f t="shared" si="2"/>
        <v>January</v>
      </c>
      <c r="M21">
        <f t="shared" si="3"/>
        <v>2024</v>
      </c>
    </row>
    <row r="22" spans="1:13">
      <c r="A22" s="2" t="s">
        <v>68</v>
      </c>
      <c r="B22" s="2" t="s">
        <v>16</v>
      </c>
      <c r="C22" s="2" t="s">
        <v>69</v>
      </c>
      <c r="D22" s="2" t="s">
        <v>12</v>
      </c>
      <c r="E22" s="2">
        <v>14</v>
      </c>
      <c r="F22" s="3">
        <v>337.11</v>
      </c>
      <c r="G22" s="4" t="s">
        <v>70</v>
      </c>
      <c r="H22" s="2" t="s">
        <v>29</v>
      </c>
      <c r="I22" s="3">
        <v>4719.54</v>
      </c>
      <c r="J22" t="str">
        <f t="shared" si="0"/>
        <v>NORMAL</v>
      </c>
      <c r="K22">
        <f t="shared" si="1"/>
        <v>11</v>
      </c>
      <c r="L22" t="str">
        <f t="shared" si="2"/>
        <v>February</v>
      </c>
      <c r="M22">
        <f t="shared" si="3"/>
        <v>2024</v>
      </c>
    </row>
    <row r="23" spans="1:13">
      <c r="A23" s="2" t="s">
        <v>71</v>
      </c>
      <c r="B23" s="2" t="s">
        <v>16</v>
      </c>
      <c r="C23" s="2" t="s">
        <v>58</v>
      </c>
      <c r="D23" s="2" t="s">
        <v>12</v>
      </c>
      <c r="E23" s="2">
        <v>2</v>
      </c>
      <c r="F23" s="3">
        <v>102.6</v>
      </c>
      <c r="G23" s="4" t="s">
        <v>72</v>
      </c>
      <c r="H23" s="2" t="s">
        <v>29</v>
      </c>
      <c r="I23" s="3">
        <v>205.2</v>
      </c>
      <c r="J23" t="str">
        <f t="shared" si="0"/>
        <v>NORMAL</v>
      </c>
      <c r="K23">
        <f t="shared" si="1"/>
        <v>8</v>
      </c>
      <c r="L23" t="str">
        <f t="shared" si="2"/>
        <v>January</v>
      </c>
      <c r="M23">
        <f t="shared" si="3"/>
        <v>2024</v>
      </c>
    </row>
    <row r="24" spans="1:13">
      <c r="A24" s="2" t="s">
        <v>73</v>
      </c>
      <c r="B24" s="2" t="s">
        <v>10</v>
      </c>
      <c r="C24" s="2" t="s">
        <v>17</v>
      </c>
      <c r="D24" s="2" t="s">
        <v>27</v>
      </c>
      <c r="E24" s="2">
        <v>7</v>
      </c>
      <c r="F24" s="3">
        <v>75.27</v>
      </c>
      <c r="G24" s="4" t="s">
        <v>74</v>
      </c>
      <c r="H24" s="2" t="s">
        <v>24</v>
      </c>
      <c r="I24" s="3">
        <v>526.89</v>
      </c>
      <c r="J24" t="str">
        <f t="shared" si="0"/>
        <v>NORMAL</v>
      </c>
      <c r="K24">
        <f t="shared" si="1"/>
        <v>6</v>
      </c>
      <c r="L24" t="str">
        <f t="shared" si="2"/>
        <v>January</v>
      </c>
      <c r="M24">
        <f t="shared" si="3"/>
        <v>2024</v>
      </c>
    </row>
    <row r="25" spans="1:13">
      <c r="A25" s="2" t="s">
        <v>75</v>
      </c>
      <c r="B25" s="2" t="s">
        <v>21</v>
      </c>
      <c r="C25" s="2" t="s">
        <v>11</v>
      </c>
      <c r="D25" s="2" t="s">
        <v>12</v>
      </c>
      <c r="E25" s="2">
        <v>16</v>
      </c>
      <c r="F25" s="3">
        <v>230.51</v>
      </c>
      <c r="G25" s="4" t="s">
        <v>76</v>
      </c>
      <c r="H25" s="2" t="s">
        <v>14</v>
      </c>
      <c r="I25" s="3">
        <v>3688.16</v>
      </c>
      <c r="J25" t="str">
        <f t="shared" si="0"/>
        <v>NORMAL</v>
      </c>
      <c r="K25">
        <f t="shared" si="1"/>
        <v>2</v>
      </c>
      <c r="L25" t="str">
        <f t="shared" si="2"/>
        <v>March</v>
      </c>
      <c r="M25">
        <f t="shared" si="3"/>
        <v>2024</v>
      </c>
    </row>
    <row r="26" spans="1:13">
      <c r="A26" s="2" t="s">
        <v>77</v>
      </c>
      <c r="B26" s="2" t="s">
        <v>16</v>
      </c>
      <c r="C26" s="2" t="s">
        <v>11</v>
      </c>
      <c r="D26" s="2" t="s">
        <v>12</v>
      </c>
      <c r="E26" s="2">
        <v>16</v>
      </c>
      <c r="F26" s="3">
        <v>343.67</v>
      </c>
      <c r="G26" s="4" t="s">
        <v>78</v>
      </c>
      <c r="H26" s="2" t="s">
        <v>29</v>
      </c>
      <c r="I26" s="3">
        <v>5498.72</v>
      </c>
      <c r="J26" t="str">
        <f t="shared" si="0"/>
        <v>GOOD</v>
      </c>
      <c r="K26">
        <f t="shared" si="1"/>
        <v>3</v>
      </c>
      <c r="L26" t="str">
        <f t="shared" si="2"/>
        <v>February</v>
      </c>
      <c r="M26">
        <f t="shared" si="3"/>
        <v>2024</v>
      </c>
    </row>
    <row r="27" spans="1:13">
      <c r="A27" s="2" t="s">
        <v>79</v>
      </c>
      <c r="B27" s="2" t="s">
        <v>34</v>
      </c>
      <c r="C27" s="2" t="s">
        <v>35</v>
      </c>
      <c r="D27" s="2" t="s">
        <v>43</v>
      </c>
      <c r="E27" s="2">
        <v>5</v>
      </c>
      <c r="F27" s="3">
        <v>96.27</v>
      </c>
      <c r="G27" s="4" t="s">
        <v>80</v>
      </c>
      <c r="H27" s="2" t="s">
        <v>24</v>
      </c>
      <c r="I27" s="3">
        <v>481.35</v>
      </c>
      <c r="J27" t="str">
        <f t="shared" si="0"/>
        <v>NORMAL</v>
      </c>
      <c r="K27">
        <f t="shared" si="1"/>
        <v>10</v>
      </c>
      <c r="L27" t="str">
        <f t="shared" si="2"/>
        <v>February</v>
      </c>
      <c r="M27">
        <f t="shared" si="3"/>
        <v>2024</v>
      </c>
    </row>
    <row r="28" spans="1:13">
      <c r="A28" s="2" t="s">
        <v>81</v>
      </c>
      <c r="B28" s="2" t="s">
        <v>82</v>
      </c>
      <c r="C28" s="2" t="s">
        <v>11</v>
      </c>
      <c r="D28" s="2" t="s">
        <v>43</v>
      </c>
      <c r="E28" s="2">
        <v>11</v>
      </c>
      <c r="F28" s="3">
        <v>18.73</v>
      </c>
      <c r="G28" s="4" t="s">
        <v>83</v>
      </c>
      <c r="H28" s="2" t="s">
        <v>24</v>
      </c>
      <c r="I28" s="3">
        <v>206.03</v>
      </c>
      <c r="J28" t="str">
        <f t="shared" si="0"/>
        <v>NORMAL</v>
      </c>
      <c r="K28">
        <f t="shared" si="1"/>
        <v>27</v>
      </c>
      <c r="L28" t="str">
        <f t="shared" si="2"/>
        <v>March</v>
      </c>
      <c r="M28">
        <f t="shared" si="3"/>
        <v>2024</v>
      </c>
    </row>
    <row r="29" spans="1:13">
      <c r="A29" s="2" t="s">
        <v>84</v>
      </c>
      <c r="B29" s="2" t="s">
        <v>48</v>
      </c>
      <c r="C29" s="2" t="s">
        <v>58</v>
      </c>
      <c r="D29" s="2" t="s">
        <v>27</v>
      </c>
      <c r="E29" s="2">
        <v>2</v>
      </c>
      <c r="F29" s="3">
        <v>245.11</v>
      </c>
      <c r="G29" s="4" t="s">
        <v>85</v>
      </c>
      <c r="H29" s="2" t="s">
        <v>14</v>
      </c>
      <c r="I29" s="3">
        <v>490.22</v>
      </c>
      <c r="J29" t="str">
        <f t="shared" si="0"/>
        <v>NORMAL</v>
      </c>
      <c r="K29">
        <f t="shared" si="1"/>
        <v>10</v>
      </c>
      <c r="L29" t="str">
        <f t="shared" si="2"/>
        <v>January</v>
      </c>
      <c r="M29">
        <f t="shared" si="3"/>
        <v>2024</v>
      </c>
    </row>
    <row r="30" spans="1:13">
      <c r="A30" s="2" t="s">
        <v>86</v>
      </c>
      <c r="B30" s="2" t="s">
        <v>82</v>
      </c>
      <c r="C30" s="2" t="s">
        <v>58</v>
      </c>
      <c r="D30" s="2" t="s">
        <v>27</v>
      </c>
      <c r="E30" s="2">
        <v>19</v>
      </c>
      <c r="F30" s="3">
        <v>357.23</v>
      </c>
      <c r="G30" s="4" t="s">
        <v>87</v>
      </c>
      <c r="H30" s="2" t="s">
        <v>29</v>
      </c>
      <c r="I30" s="3">
        <v>6787.37</v>
      </c>
      <c r="J30" t="str">
        <f t="shared" si="0"/>
        <v>GOOD</v>
      </c>
      <c r="K30">
        <f t="shared" si="1"/>
        <v>23</v>
      </c>
      <c r="L30" t="str">
        <f t="shared" si="2"/>
        <v>March</v>
      </c>
      <c r="M30">
        <f t="shared" si="3"/>
        <v>2024</v>
      </c>
    </row>
    <row r="31" spans="1:13">
      <c r="A31" s="2" t="s">
        <v>88</v>
      </c>
      <c r="B31" s="2" t="s">
        <v>21</v>
      </c>
      <c r="C31" s="2" t="s">
        <v>69</v>
      </c>
      <c r="D31" s="2" t="s">
        <v>27</v>
      </c>
      <c r="E31" s="2">
        <v>9</v>
      </c>
      <c r="F31" s="3">
        <v>481.31</v>
      </c>
      <c r="G31" s="4" t="s">
        <v>89</v>
      </c>
      <c r="H31" s="2" t="s">
        <v>29</v>
      </c>
      <c r="I31" s="3">
        <v>4331.79</v>
      </c>
      <c r="J31" t="str">
        <f t="shared" si="0"/>
        <v>NORMAL</v>
      </c>
      <c r="K31">
        <f t="shared" si="1"/>
        <v>27</v>
      </c>
      <c r="L31" t="str">
        <f t="shared" si="2"/>
        <v>January</v>
      </c>
      <c r="M31">
        <f t="shared" si="3"/>
        <v>2024</v>
      </c>
    </row>
    <row r="32" spans="1:13">
      <c r="A32" s="2" t="s">
        <v>90</v>
      </c>
      <c r="B32" s="2" t="s">
        <v>16</v>
      </c>
      <c r="C32" s="2" t="s">
        <v>58</v>
      </c>
      <c r="D32" s="2" t="s">
        <v>12</v>
      </c>
      <c r="E32" s="2">
        <v>19</v>
      </c>
      <c r="F32" s="3">
        <v>114.64</v>
      </c>
      <c r="G32" s="4" t="s">
        <v>91</v>
      </c>
      <c r="H32" s="2" t="s">
        <v>14</v>
      </c>
      <c r="I32" s="3">
        <v>2178.16</v>
      </c>
      <c r="J32" t="str">
        <f t="shared" si="0"/>
        <v>NORMAL</v>
      </c>
      <c r="K32">
        <f t="shared" si="1"/>
        <v>16</v>
      </c>
      <c r="L32" t="str">
        <f t="shared" si="2"/>
        <v>March</v>
      </c>
      <c r="M32">
        <f t="shared" si="3"/>
        <v>2024</v>
      </c>
    </row>
    <row r="33" spans="1:13">
      <c r="A33" s="2" t="s">
        <v>92</v>
      </c>
      <c r="B33" s="2" t="s">
        <v>82</v>
      </c>
      <c r="C33" s="2" t="s">
        <v>22</v>
      </c>
      <c r="D33" s="2" t="s">
        <v>12</v>
      </c>
      <c r="E33" s="2">
        <v>9</v>
      </c>
      <c r="F33" s="3">
        <v>273.02</v>
      </c>
      <c r="G33" s="4" t="s">
        <v>87</v>
      </c>
      <c r="H33" s="2" t="s">
        <v>19</v>
      </c>
      <c r="I33" s="3">
        <v>2457.1799999999998</v>
      </c>
      <c r="J33" t="str">
        <f t="shared" si="0"/>
        <v>NORMAL</v>
      </c>
      <c r="K33">
        <f t="shared" si="1"/>
        <v>23</v>
      </c>
      <c r="L33" t="str">
        <f t="shared" si="2"/>
        <v>March</v>
      </c>
      <c r="M33">
        <f t="shared" si="3"/>
        <v>2024</v>
      </c>
    </row>
    <row r="34" spans="1:13">
      <c r="A34" s="2" t="s">
        <v>93</v>
      </c>
      <c r="B34" s="2" t="s">
        <v>10</v>
      </c>
      <c r="C34" s="2" t="s">
        <v>69</v>
      </c>
      <c r="D34" s="2" t="s">
        <v>12</v>
      </c>
      <c r="E34" s="2">
        <v>7</v>
      </c>
      <c r="F34" s="3">
        <v>25.87</v>
      </c>
      <c r="G34" s="4" t="s">
        <v>94</v>
      </c>
      <c r="H34" s="2" t="s">
        <v>29</v>
      </c>
      <c r="I34" s="3">
        <v>181.09</v>
      </c>
      <c r="J34" t="str">
        <f t="shared" si="0"/>
        <v>NORMAL</v>
      </c>
      <c r="K34">
        <f t="shared" si="1"/>
        <v>20</v>
      </c>
      <c r="L34" t="str">
        <f t="shared" si="2"/>
        <v>January</v>
      </c>
      <c r="M34">
        <f t="shared" si="3"/>
        <v>2024</v>
      </c>
    </row>
    <row r="35" spans="1:13">
      <c r="A35" s="2" t="s">
        <v>95</v>
      </c>
      <c r="B35" s="2" t="s">
        <v>21</v>
      </c>
      <c r="C35" s="2" t="s">
        <v>11</v>
      </c>
      <c r="D35" s="2" t="s">
        <v>43</v>
      </c>
      <c r="E35" s="2">
        <v>19</v>
      </c>
      <c r="F35" s="3">
        <v>280.33999999999997</v>
      </c>
      <c r="G35" s="4" t="s">
        <v>96</v>
      </c>
      <c r="H35" s="2" t="s">
        <v>19</v>
      </c>
      <c r="I35" s="3">
        <v>5326.46</v>
      </c>
      <c r="J35" t="str">
        <f t="shared" si="0"/>
        <v>GOOD</v>
      </c>
      <c r="K35">
        <f t="shared" si="1"/>
        <v>17</v>
      </c>
      <c r="L35" t="str">
        <f t="shared" si="2"/>
        <v>February</v>
      </c>
      <c r="M35">
        <f t="shared" si="3"/>
        <v>2024</v>
      </c>
    </row>
    <row r="36" spans="1:13">
      <c r="A36" s="2" t="s">
        <v>97</v>
      </c>
      <c r="B36" s="2" t="s">
        <v>34</v>
      </c>
      <c r="C36" s="2" t="s">
        <v>17</v>
      </c>
      <c r="D36" s="2" t="s">
        <v>43</v>
      </c>
      <c r="E36" s="2">
        <v>4</v>
      </c>
      <c r="F36" s="3">
        <v>118.01</v>
      </c>
      <c r="G36" s="4" t="s">
        <v>98</v>
      </c>
      <c r="H36" s="2" t="s">
        <v>14</v>
      </c>
      <c r="I36" s="3">
        <v>472.04</v>
      </c>
      <c r="J36" t="str">
        <f t="shared" si="0"/>
        <v>NORMAL</v>
      </c>
      <c r="K36">
        <f t="shared" si="1"/>
        <v>19</v>
      </c>
      <c r="L36" t="str">
        <f t="shared" si="2"/>
        <v>January</v>
      </c>
      <c r="M36">
        <f t="shared" si="3"/>
        <v>2024</v>
      </c>
    </row>
    <row r="37" spans="1:13">
      <c r="A37" s="2" t="s">
        <v>99</v>
      </c>
      <c r="B37" s="2" t="s">
        <v>34</v>
      </c>
      <c r="C37" s="2" t="s">
        <v>31</v>
      </c>
      <c r="D37" s="2" t="s">
        <v>12</v>
      </c>
      <c r="E37" s="2">
        <v>13</v>
      </c>
      <c r="F37" s="3">
        <v>335.98</v>
      </c>
      <c r="G37" s="4" t="s">
        <v>100</v>
      </c>
      <c r="H37" s="2" t="s">
        <v>14</v>
      </c>
      <c r="I37" s="3">
        <v>4367.74</v>
      </c>
      <c r="J37" t="str">
        <f t="shared" si="0"/>
        <v>NORMAL</v>
      </c>
      <c r="K37">
        <f t="shared" si="1"/>
        <v>25</v>
      </c>
      <c r="L37" t="str">
        <f t="shared" si="2"/>
        <v>January</v>
      </c>
      <c r="M37">
        <f t="shared" si="3"/>
        <v>2024</v>
      </c>
    </row>
    <row r="38" spans="1:13">
      <c r="A38" s="2" t="s">
        <v>101</v>
      </c>
      <c r="B38" s="2" t="s">
        <v>10</v>
      </c>
      <c r="C38" s="2" t="s">
        <v>35</v>
      </c>
      <c r="D38" s="2" t="s">
        <v>12</v>
      </c>
      <c r="E38" s="2">
        <v>17</v>
      </c>
      <c r="F38" s="3">
        <v>68.95</v>
      </c>
      <c r="G38" s="4" t="s">
        <v>28</v>
      </c>
      <c r="H38" s="2" t="s">
        <v>19</v>
      </c>
      <c r="I38" s="3">
        <v>1172.1500000000001</v>
      </c>
      <c r="J38" t="str">
        <f t="shared" si="0"/>
        <v>NORMAL</v>
      </c>
      <c r="K38">
        <f t="shared" si="1"/>
        <v>1</v>
      </c>
      <c r="L38" t="str">
        <f t="shared" si="2"/>
        <v>January</v>
      </c>
      <c r="M38">
        <f t="shared" si="3"/>
        <v>2024</v>
      </c>
    </row>
    <row r="39" spans="1:13">
      <c r="A39" s="2" t="s">
        <v>102</v>
      </c>
      <c r="B39" s="2" t="s">
        <v>10</v>
      </c>
      <c r="C39" s="2" t="s">
        <v>31</v>
      </c>
      <c r="D39" s="2" t="s">
        <v>27</v>
      </c>
      <c r="E39" s="2">
        <v>17</v>
      </c>
      <c r="F39" s="3">
        <v>413.04</v>
      </c>
      <c r="G39" s="4" t="s">
        <v>103</v>
      </c>
      <c r="H39" s="2" t="s">
        <v>14</v>
      </c>
      <c r="I39" s="3">
        <v>7021.68</v>
      </c>
      <c r="J39" t="str">
        <f t="shared" si="0"/>
        <v>GOOD</v>
      </c>
      <c r="K39">
        <f t="shared" si="1"/>
        <v>1</v>
      </c>
      <c r="L39" t="str">
        <f t="shared" si="2"/>
        <v>March</v>
      </c>
      <c r="M39">
        <f t="shared" si="3"/>
        <v>2024</v>
      </c>
    </row>
    <row r="40" spans="1:13">
      <c r="A40" s="2" t="s">
        <v>104</v>
      </c>
      <c r="B40" s="2" t="s">
        <v>38</v>
      </c>
      <c r="C40" s="2" t="s">
        <v>22</v>
      </c>
      <c r="D40" s="2" t="s">
        <v>12</v>
      </c>
      <c r="E40" s="2">
        <v>17</v>
      </c>
      <c r="F40" s="3">
        <v>54.26</v>
      </c>
      <c r="G40" s="4" t="s">
        <v>105</v>
      </c>
      <c r="H40" s="2" t="s">
        <v>24</v>
      </c>
      <c r="I40" s="3">
        <v>922.42</v>
      </c>
      <c r="J40" t="str">
        <f t="shared" si="0"/>
        <v>NORMAL</v>
      </c>
      <c r="K40">
        <f t="shared" si="1"/>
        <v>18</v>
      </c>
      <c r="L40" t="str">
        <f t="shared" si="2"/>
        <v>February</v>
      </c>
      <c r="M40">
        <f t="shared" si="3"/>
        <v>2024</v>
      </c>
    </row>
    <row r="41" spans="1:13">
      <c r="A41" s="2" t="s">
        <v>106</v>
      </c>
      <c r="B41" s="2" t="s">
        <v>16</v>
      </c>
      <c r="C41" s="2" t="s">
        <v>11</v>
      </c>
      <c r="D41" s="2" t="s">
        <v>27</v>
      </c>
      <c r="E41" s="2">
        <v>1</v>
      </c>
      <c r="F41" s="3">
        <v>163.97</v>
      </c>
      <c r="G41" s="4" t="s">
        <v>44</v>
      </c>
      <c r="H41" s="2" t="s">
        <v>29</v>
      </c>
      <c r="I41" s="3">
        <v>163.97</v>
      </c>
      <c r="J41" t="str">
        <f t="shared" si="0"/>
        <v>NORMAL</v>
      </c>
      <c r="K41">
        <f t="shared" si="1"/>
        <v>20</v>
      </c>
      <c r="L41" t="str">
        <f t="shared" si="2"/>
        <v>February</v>
      </c>
      <c r="M41">
        <f t="shared" si="3"/>
        <v>2024</v>
      </c>
    </row>
    <row r="42" spans="1:13">
      <c r="A42" s="2" t="s">
        <v>107</v>
      </c>
      <c r="B42" s="2" t="s">
        <v>34</v>
      </c>
      <c r="C42" s="2" t="s">
        <v>11</v>
      </c>
      <c r="D42" s="2" t="s">
        <v>43</v>
      </c>
      <c r="E42" s="2">
        <v>18</v>
      </c>
      <c r="F42" s="3">
        <v>226.52</v>
      </c>
      <c r="G42" s="4" t="s">
        <v>56</v>
      </c>
      <c r="H42" s="2" t="s">
        <v>19</v>
      </c>
      <c r="I42" s="3">
        <v>4077.36</v>
      </c>
      <c r="J42" t="str">
        <f t="shared" si="0"/>
        <v>NORMAL</v>
      </c>
      <c r="K42">
        <f t="shared" si="1"/>
        <v>15</v>
      </c>
      <c r="L42" t="str">
        <f t="shared" si="2"/>
        <v>January</v>
      </c>
      <c r="M42">
        <f t="shared" si="3"/>
        <v>2024</v>
      </c>
    </row>
    <row r="43" spans="1:13">
      <c r="A43" s="2" t="s">
        <v>108</v>
      </c>
      <c r="B43" s="2" t="s">
        <v>38</v>
      </c>
      <c r="C43" s="2" t="s">
        <v>69</v>
      </c>
      <c r="D43" s="2" t="s">
        <v>27</v>
      </c>
      <c r="E43" s="2">
        <v>2</v>
      </c>
      <c r="F43" s="3">
        <v>311.87</v>
      </c>
      <c r="G43" s="4" t="s">
        <v>80</v>
      </c>
      <c r="H43" s="2" t="s">
        <v>24</v>
      </c>
      <c r="I43" s="3">
        <v>623.74</v>
      </c>
      <c r="J43" t="str">
        <f t="shared" si="0"/>
        <v>NORMAL</v>
      </c>
      <c r="K43">
        <f t="shared" si="1"/>
        <v>10</v>
      </c>
      <c r="L43" t="str">
        <f t="shared" si="2"/>
        <v>February</v>
      </c>
      <c r="M43">
        <f t="shared" si="3"/>
        <v>2024</v>
      </c>
    </row>
    <row r="44" spans="1:13">
      <c r="A44" s="2" t="s">
        <v>109</v>
      </c>
      <c r="B44" s="2" t="s">
        <v>16</v>
      </c>
      <c r="C44" s="2" t="s">
        <v>69</v>
      </c>
      <c r="D44" s="2" t="s">
        <v>27</v>
      </c>
      <c r="E44" s="2">
        <v>19</v>
      </c>
      <c r="F44" s="3">
        <v>373.58</v>
      </c>
      <c r="G44" s="4" t="s">
        <v>110</v>
      </c>
      <c r="H44" s="2" t="s">
        <v>19</v>
      </c>
      <c r="I44" s="3">
        <v>7098.02</v>
      </c>
      <c r="J44" t="str">
        <f t="shared" si="0"/>
        <v>GOOD</v>
      </c>
      <c r="K44">
        <f t="shared" si="1"/>
        <v>15</v>
      </c>
      <c r="L44" t="str">
        <f t="shared" si="2"/>
        <v>March</v>
      </c>
      <c r="M44">
        <f t="shared" si="3"/>
        <v>2024</v>
      </c>
    </row>
    <row r="45" spans="1:13">
      <c r="A45" s="2" t="s">
        <v>111</v>
      </c>
      <c r="B45" s="2" t="s">
        <v>38</v>
      </c>
      <c r="C45" s="2" t="s">
        <v>69</v>
      </c>
      <c r="D45" s="2" t="s">
        <v>12</v>
      </c>
      <c r="E45" s="2">
        <v>9</v>
      </c>
      <c r="F45" s="3">
        <v>336.66</v>
      </c>
      <c r="G45" s="4" t="s">
        <v>112</v>
      </c>
      <c r="H45" s="2" t="s">
        <v>24</v>
      </c>
      <c r="I45" s="3">
        <v>3029.94</v>
      </c>
      <c r="J45" t="str">
        <f t="shared" si="0"/>
        <v>NORMAL</v>
      </c>
      <c r="K45">
        <f t="shared" si="1"/>
        <v>3</v>
      </c>
      <c r="L45" t="str">
        <f t="shared" si="2"/>
        <v>January</v>
      </c>
      <c r="M45">
        <f t="shared" si="3"/>
        <v>2024</v>
      </c>
    </row>
    <row r="46" spans="1:13">
      <c r="A46" s="2" t="s">
        <v>113</v>
      </c>
      <c r="B46" s="2" t="s">
        <v>10</v>
      </c>
      <c r="C46" s="2" t="s">
        <v>69</v>
      </c>
      <c r="D46" s="2" t="s">
        <v>43</v>
      </c>
      <c r="E46" s="2">
        <v>17</v>
      </c>
      <c r="F46" s="3">
        <v>392.7</v>
      </c>
      <c r="G46" s="4" t="s">
        <v>114</v>
      </c>
      <c r="H46" s="2" t="s">
        <v>14</v>
      </c>
      <c r="I46" s="3">
        <v>6675.9</v>
      </c>
      <c r="J46" t="str">
        <f t="shared" si="0"/>
        <v>GOOD</v>
      </c>
      <c r="K46">
        <f t="shared" si="1"/>
        <v>11</v>
      </c>
      <c r="L46" t="str">
        <f t="shared" si="2"/>
        <v>January</v>
      </c>
      <c r="M46">
        <f t="shared" si="3"/>
        <v>2024</v>
      </c>
    </row>
    <row r="47" spans="1:13">
      <c r="A47" s="2" t="s">
        <v>115</v>
      </c>
      <c r="B47" s="2" t="s">
        <v>82</v>
      </c>
      <c r="C47" s="2" t="s">
        <v>22</v>
      </c>
      <c r="D47" s="2" t="s">
        <v>12</v>
      </c>
      <c r="E47" s="2">
        <v>1</v>
      </c>
      <c r="F47" s="3">
        <v>130.96</v>
      </c>
      <c r="G47" s="4" t="s">
        <v>116</v>
      </c>
      <c r="H47" s="2" t="s">
        <v>29</v>
      </c>
      <c r="I47" s="3">
        <v>130.96</v>
      </c>
      <c r="J47" t="str">
        <f t="shared" si="0"/>
        <v>NORMAL</v>
      </c>
      <c r="K47">
        <f t="shared" si="1"/>
        <v>6</v>
      </c>
      <c r="L47" t="str">
        <f t="shared" si="2"/>
        <v>March</v>
      </c>
      <c r="M47">
        <f t="shared" si="3"/>
        <v>2024</v>
      </c>
    </row>
    <row r="48" spans="1:13">
      <c r="A48" s="2" t="s">
        <v>117</v>
      </c>
      <c r="B48" s="2" t="s">
        <v>16</v>
      </c>
      <c r="C48" s="2" t="s">
        <v>69</v>
      </c>
      <c r="D48" s="2" t="s">
        <v>27</v>
      </c>
      <c r="E48" s="2">
        <v>3</v>
      </c>
      <c r="F48" s="3">
        <v>227.46</v>
      </c>
      <c r="G48" s="4" t="s">
        <v>59</v>
      </c>
      <c r="H48" s="2" t="s">
        <v>24</v>
      </c>
      <c r="I48" s="3">
        <v>682.38</v>
      </c>
      <c r="J48" t="str">
        <f t="shared" si="0"/>
        <v>NORMAL</v>
      </c>
      <c r="K48">
        <f t="shared" si="1"/>
        <v>10</v>
      </c>
      <c r="L48" t="str">
        <f t="shared" si="2"/>
        <v>March</v>
      </c>
      <c r="M48">
        <f t="shared" si="3"/>
        <v>2024</v>
      </c>
    </row>
    <row r="49" spans="1:13">
      <c r="A49" s="2" t="s">
        <v>118</v>
      </c>
      <c r="B49" s="2" t="s">
        <v>48</v>
      </c>
      <c r="C49" s="2" t="s">
        <v>17</v>
      </c>
      <c r="D49" s="2" t="s">
        <v>12</v>
      </c>
      <c r="E49" s="2">
        <v>5</v>
      </c>
      <c r="F49" s="3">
        <v>259.26</v>
      </c>
      <c r="G49" s="4" t="s">
        <v>119</v>
      </c>
      <c r="H49" s="2" t="s">
        <v>29</v>
      </c>
      <c r="I49" s="3">
        <v>1296.3</v>
      </c>
      <c r="J49" t="str">
        <f t="shared" si="0"/>
        <v>NORMAL</v>
      </c>
      <c r="K49">
        <f t="shared" si="1"/>
        <v>13</v>
      </c>
      <c r="L49" t="str">
        <f t="shared" si="2"/>
        <v>March</v>
      </c>
      <c r="M49">
        <f t="shared" si="3"/>
        <v>2024</v>
      </c>
    </row>
    <row r="50" spans="1:13">
      <c r="A50" s="2" t="s">
        <v>120</v>
      </c>
      <c r="B50" s="2" t="s">
        <v>48</v>
      </c>
      <c r="C50" s="2" t="s">
        <v>17</v>
      </c>
      <c r="D50" s="2" t="s">
        <v>27</v>
      </c>
      <c r="E50" s="2">
        <v>20</v>
      </c>
      <c r="F50" s="3">
        <v>475.21</v>
      </c>
      <c r="G50" s="4" t="s">
        <v>119</v>
      </c>
      <c r="H50" s="2" t="s">
        <v>14</v>
      </c>
      <c r="I50" s="3">
        <v>9504.2000000000007</v>
      </c>
      <c r="J50" t="str">
        <f t="shared" si="0"/>
        <v>GOOD</v>
      </c>
      <c r="K50">
        <f t="shared" si="1"/>
        <v>13</v>
      </c>
      <c r="L50" t="str">
        <f t="shared" si="2"/>
        <v>March</v>
      </c>
      <c r="M50">
        <f t="shared" si="3"/>
        <v>2024</v>
      </c>
    </row>
    <row r="51" spans="1:13">
      <c r="A51" s="2" t="s">
        <v>121</v>
      </c>
      <c r="B51" s="2" t="s">
        <v>16</v>
      </c>
      <c r="C51" s="2" t="s">
        <v>58</v>
      </c>
      <c r="D51" s="2" t="s">
        <v>43</v>
      </c>
      <c r="E51" s="2">
        <v>13</v>
      </c>
      <c r="F51" s="3">
        <v>401.92</v>
      </c>
      <c r="G51" s="4" t="s">
        <v>89</v>
      </c>
      <c r="H51" s="2" t="s">
        <v>29</v>
      </c>
      <c r="I51" s="3">
        <v>5224.96</v>
      </c>
      <c r="J51" t="str">
        <f t="shared" si="0"/>
        <v>GOOD</v>
      </c>
      <c r="K51">
        <f t="shared" si="1"/>
        <v>27</v>
      </c>
      <c r="L51" t="str">
        <f t="shared" si="2"/>
        <v>January</v>
      </c>
      <c r="M51">
        <f t="shared" si="3"/>
        <v>2024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20" zoomScaleNormal="37" workbookViewId="0">
      <selection activeCell="AP5" sqref="AP5"/>
    </sheetView>
  </sheetViews>
  <sheetFormatPr defaultRowHeight="1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workbookViewId="0">
      <selection activeCell="G2" sqref="G2"/>
    </sheetView>
  </sheetViews>
  <sheetFormatPr defaultRowHeight="15"/>
  <cols>
    <col min="1" max="1" width="18.5703125" bestFit="1" customWidth="1"/>
    <col min="2" max="2" width="18.28515625" bestFit="1" customWidth="1"/>
    <col min="3" max="3" width="17.7109375" bestFit="1" customWidth="1"/>
    <col min="4" max="4" width="14.28515625" bestFit="1" customWidth="1"/>
    <col min="5" max="5" width="15.28515625" style="13" bestFit="1" customWidth="1"/>
    <col min="6" max="6" width="12.140625" bestFit="1" customWidth="1"/>
    <col min="7" max="7" width="23.85546875" bestFit="1" customWidth="1"/>
    <col min="8" max="8" width="19.140625" bestFit="1" customWidth="1"/>
    <col min="9" max="9" width="23.7109375" bestFit="1" customWidth="1"/>
  </cols>
  <sheetData>
    <row r="1" spans="1:9">
      <c r="A1" s="1" t="s">
        <v>122</v>
      </c>
      <c r="B1" s="1" t="s">
        <v>123</v>
      </c>
      <c r="C1" s="1" t="s">
        <v>124</v>
      </c>
      <c r="D1" s="1" t="s">
        <v>125</v>
      </c>
      <c r="E1" s="12" t="s">
        <v>126</v>
      </c>
      <c r="F1" s="1" t="s">
        <v>123</v>
      </c>
      <c r="G1" s="1" t="s">
        <v>128</v>
      </c>
      <c r="H1" s="19" t="s">
        <v>214</v>
      </c>
      <c r="I1" s="19" t="s">
        <v>213</v>
      </c>
    </row>
    <row r="2" spans="1:9">
      <c r="A2" s="2" t="s">
        <v>129</v>
      </c>
      <c r="B2" s="16" t="s">
        <v>217</v>
      </c>
      <c r="C2" s="2" t="s">
        <v>130</v>
      </c>
      <c r="D2" s="2" t="s">
        <v>131</v>
      </c>
      <c r="E2" s="14" t="s">
        <v>149</v>
      </c>
      <c r="F2" s="5">
        <v>42178</v>
      </c>
      <c r="G2" s="2">
        <v>9</v>
      </c>
      <c r="H2" t="str">
        <f>IF(F2&gt;100000,"High",IF(F2&gt;60000,"Medium","Low"))</f>
        <v>Low</v>
      </c>
      <c r="I2" t="str">
        <f>IF(G2&gt;4,"Experienced","Fresher")</f>
        <v>Experienced</v>
      </c>
    </row>
    <row r="3" spans="1:9">
      <c r="A3" s="2" t="s">
        <v>133</v>
      </c>
      <c r="B3" s="16" t="s">
        <v>218</v>
      </c>
      <c r="C3" s="2" t="s">
        <v>134</v>
      </c>
      <c r="D3" s="2" t="s">
        <v>135</v>
      </c>
      <c r="E3" s="14" t="s">
        <v>168</v>
      </c>
      <c r="F3" s="5">
        <v>91825</v>
      </c>
      <c r="G3" s="2">
        <v>2</v>
      </c>
      <c r="H3" t="str">
        <f t="shared" ref="H3:H31" si="0">IF(F3&gt;100000,"High",IF(F3&gt;60000,"Medium","Low"))</f>
        <v>Medium</v>
      </c>
      <c r="I3" t="str">
        <f t="shared" ref="I3:I31" si="1">IF(G3&gt;4,"Experienced","Fresher")</f>
        <v>Fresher</v>
      </c>
    </row>
    <row r="4" spans="1:9">
      <c r="A4" s="2" t="s">
        <v>137</v>
      </c>
      <c r="B4" s="16" t="s">
        <v>219</v>
      </c>
      <c r="C4" s="2" t="s">
        <v>138</v>
      </c>
      <c r="D4" s="2" t="s">
        <v>139</v>
      </c>
      <c r="E4" s="14" t="s">
        <v>180</v>
      </c>
      <c r="F4" s="5">
        <v>71078</v>
      </c>
      <c r="G4" s="2">
        <v>5</v>
      </c>
      <c r="H4" t="str">
        <f t="shared" si="0"/>
        <v>Medium</v>
      </c>
      <c r="I4" t="str">
        <f t="shared" si="1"/>
        <v>Experienced</v>
      </c>
    </row>
    <row r="5" spans="1:9">
      <c r="A5" s="2" t="s">
        <v>141</v>
      </c>
      <c r="B5" s="16" t="s">
        <v>220</v>
      </c>
      <c r="C5" s="2" t="s">
        <v>142</v>
      </c>
      <c r="D5" s="2" t="s">
        <v>135</v>
      </c>
      <c r="E5" s="14" t="s">
        <v>184</v>
      </c>
      <c r="F5" s="5">
        <v>96313</v>
      </c>
      <c r="G5" s="2">
        <v>9</v>
      </c>
      <c r="H5" t="str">
        <f t="shared" si="0"/>
        <v>Medium</v>
      </c>
      <c r="I5" t="str">
        <f t="shared" si="1"/>
        <v>Experienced</v>
      </c>
    </row>
    <row r="6" spans="1:9">
      <c r="A6" s="2" t="s">
        <v>144</v>
      </c>
      <c r="B6" s="16" t="s">
        <v>221</v>
      </c>
      <c r="C6" s="2" t="s">
        <v>134</v>
      </c>
      <c r="D6" s="2" t="s">
        <v>139</v>
      </c>
      <c r="E6" s="14" t="s">
        <v>190</v>
      </c>
      <c r="F6" s="5">
        <v>100966</v>
      </c>
      <c r="G6" s="2">
        <v>9</v>
      </c>
      <c r="H6" t="str">
        <f t="shared" si="0"/>
        <v>High</v>
      </c>
      <c r="I6" t="str">
        <f t="shared" si="1"/>
        <v>Experienced</v>
      </c>
    </row>
    <row r="7" spans="1:9">
      <c r="A7" s="2" t="s">
        <v>146</v>
      </c>
      <c r="B7" s="16" t="s">
        <v>222</v>
      </c>
      <c r="C7" s="2" t="s">
        <v>134</v>
      </c>
      <c r="D7" s="2" t="s">
        <v>135</v>
      </c>
      <c r="E7" s="14" t="s">
        <v>155</v>
      </c>
      <c r="F7" s="5">
        <v>141416</v>
      </c>
      <c r="G7" s="2">
        <v>5</v>
      </c>
      <c r="H7" t="str">
        <f t="shared" si="0"/>
        <v>High</v>
      </c>
      <c r="I7" t="str">
        <f t="shared" si="1"/>
        <v>Experienced</v>
      </c>
    </row>
    <row r="8" spans="1:9">
      <c r="A8" s="2" t="s">
        <v>148</v>
      </c>
      <c r="B8" s="16" t="s">
        <v>223</v>
      </c>
      <c r="C8" s="2" t="s">
        <v>130</v>
      </c>
      <c r="D8" s="2" t="s">
        <v>135</v>
      </c>
      <c r="E8" s="14" t="s">
        <v>198</v>
      </c>
      <c r="F8" s="5">
        <v>60661</v>
      </c>
      <c r="G8" s="2">
        <v>3</v>
      </c>
      <c r="H8" t="str">
        <f t="shared" si="0"/>
        <v>Medium</v>
      </c>
      <c r="I8" t="str">
        <f t="shared" si="1"/>
        <v>Fresher</v>
      </c>
    </row>
    <row r="9" spans="1:9">
      <c r="A9" s="2" t="s">
        <v>150</v>
      </c>
      <c r="B9" s="16" t="s">
        <v>224</v>
      </c>
      <c r="C9" s="2" t="s">
        <v>142</v>
      </c>
      <c r="D9" s="2" t="s">
        <v>131</v>
      </c>
      <c r="E9" s="14" t="s">
        <v>178</v>
      </c>
      <c r="F9" s="5">
        <v>60639</v>
      </c>
      <c r="G9" s="2">
        <v>6</v>
      </c>
      <c r="H9" t="str">
        <f t="shared" si="0"/>
        <v>Medium</v>
      </c>
      <c r="I9" t="str">
        <f t="shared" si="1"/>
        <v>Experienced</v>
      </c>
    </row>
    <row r="10" spans="1:9">
      <c r="A10" s="2" t="s">
        <v>152</v>
      </c>
      <c r="B10" s="16" t="s">
        <v>225</v>
      </c>
      <c r="C10" s="2" t="s">
        <v>153</v>
      </c>
      <c r="D10" s="2" t="s">
        <v>154</v>
      </c>
      <c r="E10" s="14" t="s">
        <v>192</v>
      </c>
      <c r="F10" s="5">
        <v>107921</v>
      </c>
      <c r="G10" s="2">
        <v>4</v>
      </c>
      <c r="H10" t="str">
        <f t="shared" si="0"/>
        <v>High</v>
      </c>
      <c r="I10" t="str">
        <f t="shared" si="1"/>
        <v>Fresher</v>
      </c>
    </row>
    <row r="11" spans="1:9">
      <c r="A11" s="2" t="s">
        <v>156</v>
      </c>
      <c r="B11" s="16" t="s">
        <v>226</v>
      </c>
      <c r="C11" s="2" t="s">
        <v>157</v>
      </c>
      <c r="D11" s="2" t="s">
        <v>135</v>
      </c>
      <c r="E11" s="14" t="s">
        <v>200</v>
      </c>
      <c r="F11" s="5">
        <v>147065</v>
      </c>
      <c r="G11" s="2">
        <v>4</v>
      </c>
      <c r="H11" t="str">
        <f t="shared" si="0"/>
        <v>High</v>
      </c>
      <c r="I11" t="str">
        <f t="shared" si="1"/>
        <v>Fresher</v>
      </c>
    </row>
    <row r="12" spans="1:9">
      <c r="A12" s="2" t="s">
        <v>159</v>
      </c>
      <c r="B12" s="16" t="s">
        <v>227</v>
      </c>
      <c r="C12" s="2" t="s">
        <v>142</v>
      </c>
      <c r="D12" s="2" t="s">
        <v>160</v>
      </c>
      <c r="E12" s="14" t="s">
        <v>166</v>
      </c>
      <c r="F12" s="5">
        <v>111912</v>
      </c>
      <c r="G12" s="2">
        <v>6</v>
      </c>
      <c r="H12" t="str">
        <f t="shared" si="0"/>
        <v>High</v>
      </c>
      <c r="I12" t="str">
        <f t="shared" si="1"/>
        <v>Experienced</v>
      </c>
    </row>
    <row r="13" spans="1:9">
      <c r="A13" s="2" t="s">
        <v>162</v>
      </c>
      <c r="B13" s="16" t="s">
        <v>228</v>
      </c>
      <c r="C13" s="2" t="s">
        <v>134</v>
      </c>
      <c r="D13" s="2" t="s">
        <v>139</v>
      </c>
      <c r="E13" s="14" t="s">
        <v>143</v>
      </c>
      <c r="F13" s="5">
        <v>56102</v>
      </c>
      <c r="G13" s="2">
        <v>3</v>
      </c>
      <c r="H13" t="str">
        <f t="shared" si="0"/>
        <v>Low</v>
      </c>
      <c r="I13" t="str">
        <f t="shared" si="1"/>
        <v>Fresher</v>
      </c>
    </row>
    <row r="14" spans="1:9">
      <c r="A14" s="2" t="s">
        <v>164</v>
      </c>
      <c r="B14" s="16" t="s">
        <v>229</v>
      </c>
      <c r="C14" s="2" t="s">
        <v>157</v>
      </c>
      <c r="D14" s="2" t="s">
        <v>165</v>
      </c>
      <c r="E14" s="14" t="s">
        <v>158</v>
      </c>
      <c r="F14" s="5">
        <v>96946</v>
      </c>
      <c r="G14" s="2">
        <v>1</v>
      </c>
      <c r="H14" t="str">
        <f t="shared" si="0"/>
        <v>Medium</v>
      </c>
      <c r="I14" t="str">
        <f t="shared" si="1"/>
        <v>Fresher</v>
      </c>
    </row>
    <row r="15" spans="1:9">
      <c r="A15" s="2" t="s">
        <v>167</v>
      </c>
      <c r="B15" s="16" t="s">
        <v>230</v>
      </c>
      <c r="C15" s="2" t="s">
        <v>157</v>
      </c>
      <c r="D15" s="2" t="s">
        <v>139</v>
      </c>
      <c r="E15" s="14" t="s">
        <v>174</v>
      </c>
      <c r="F15" s="5">
        <v>50094</v>
      </c>
      <c r="G15" s="2">
        <v>0</v>
      </c>
      <c r="H15" t="str">
        <f t="shared" si="0"/>
        <v>Low</v>
      </c>
      <c r="I15" t="str">
        <f t="shared" si="1"/>
        <v>Fresher</v>
      </c>
    </row>
    <row r="16" spans="1:9">
      <c r="A16" s="2" t="s">
        <v>169</v>
      </c>
      <c r="B16" s="16" t="s">
        <v>231</v>
      </c>
      <c r="C16" s="2" t="s">
        <v>153</v>
      </c>
      <c r="D16" s="2" t="s">
        <v>139</v>
      </c>
      <c r="E16" s="14" t="s">
        <v>172</v>
      </c>
      <c r="F16" s="5">
        <v>66399</v>
      </c>
      <c r="G16" s="2">
        <v>0</v>
      </c>
      <c r="H16" t="str">
        <f t="shared" si="0"/>
        <v>Medium</v>
      </c>
      <c r="I16" t="str">
        <f t="shared" si="1"/>
        <v>Fresher</v>
      </c>
    </row>
    <row r="17" spans="1:9">
      <c r="A17" s="2" t="s">
        <v>171</v>
      </c>
      <c r="B17" s="16" t="s">
        <v>232</v>
      </c>
      <c r="C17" s="2" t="s">
        <v>130</v>
      </c>
      <c r="D17" s="2" t="s">
        <v>135</v>
      </c>
      <c r="E17" s="14" t="s">
        <v>163</v>
      </c>
      <c r="F17" s="5">
        <v>48269</v>
      </c>
      <c r="G17" s="2">
        <v>7</v>
      </c>
      <c r="H17" t="str">
        <f t="shared" si="0"/>
        <v>Low</v>
      </c>
      <c r="I17" t="str">
        <f t="shared" si="1"/>
        <v>Experienced</v>
      </c>
    </row>
    <row r="18" spans="1:9">
      <c r="A18" s="2" t="s">
        <v>173</v>
      </c>
      <c r="B18" s="16" t="s">
        <v>233</v>
      </c>
      <c r="C18" s="2" t="s">
        <v>130</v>
      </c>
      <c r="D18" s="2" t="s">
        <v>165</v>
      </c>
      <c r="E18" s="14" t="s">
        <v>176</v>
      </c>
      <c r="F18" s="5">
        <v>52931</v>
      </c>
      <c r="G18" s="2">
        <v>5</v>
      </c>
      <c r="H18" t="str">
        <f t="shared" si="0"/>
        <v>Low</v>
      </c>
      <c r="I18" t="str">
        <f t="shared" si="1"/>
        <v>Experienced</v>
      </c>
    </row>
    <row r="19" spans="1:9">
      <c r="A19" s="2" t="s">
        <v>175</v>
      </c>
      <c r="B19" s="16" t="s">
        <v>234</v>
      </c>
      <c r="C19" s="2" t="s">
        <v>142</v>
      </c>
      <c r="D19" s="2" t="s">
        <v>160</v>
      </c>
      <c r="E19" s="14" t="s">
        <v>151</v>
      </c>
      <c r="F19" s="5">
        <v>58169</v>
      </c>
      <c r="G19" s="2">
        <v>5</v>
      </c>
      <c r="H19" t="str">
        <f t="shared" si="0"/>
        <v>Low</v>
      </c>
      <c r="I19" t="str">
        <f t="shared" si="1"/>
        <v>Experienced</v>
      </c>
    </row>
    <row r="20" spans="1:9">
      <c r="A20" s="2" t="s">
        <v>177</v>
      </c>
      <c r="B20" s="16" t="s">
        <v>235</v>
      </c>
      <c r="C20" s="2" t="s">
        <v>142</v>
      </c>
      <c r="D20" s="2" t="s">
        <v>165</v>
      </c>
      <c r="E20" s="14" t="s">
        <v>140</v>
      </c>
      <c r="F20" s="5">
        <v>123905</v>
      </c>
      <c r="G20" s="2">
        <v>0</v>
      </c>
      <c r="H20" t="str">
        <f t="shared" si="0"/>
        <v>High</v>
      </c>
      <c r="I20" t="str">
        <f t="shared" si="1"/>
        <v>Fresher</v>
      </c>
    </row>
    <row r="21" spans="1:9">
      <c r="A21" s="2" t="s">
        <v>179</v>
      </c>
      <c r="B21" s="16" t="s">
        <v>236</v>
      </c>
      <c r="C21" s="2" t="s">
        <v>157</v>
      </c>
      <c r="D21" s="2" t="s">
        <v>160</v>
      </c>
      <c r="E21" s="14" t="s">
        <v>145</v>
      </c>
      <c r="F21" s="5">
        <v>148862</v>
      </c>
      <c r="G21" s="2">
        <v>9</v>
      </c>
      <c r="H21" t="str">
        <f t="shared" si="0"/>
        <v>High</v>
      </c>
      <c r="I21" t="str">
        <f t="shared" si="1"/>
        <v>Experienced</v>
      </c>
    </row>
    <row r="22" spans="1:9">
      <c r="A22" s="2" t="s">
        <v>181</v>
      </c>
      <c r="B22" s="16" t="s">
        <v>237</v>
      </c>
      <c r="C22" s="2" t="s">
        <v>142</v>
      </c>
      <c r="D22" s="2" t="s">
        <v>160</v>
      </c>
      <c r="E22" s="14" t="s">
        <v>147</v>
      </c>
      <c r="F22" s="5">
        <v>99311</v>
      </c>
      <c r="G22" s="2">
        <v>6</v>
      </c>
      <c r="H22" t="str">
        <f t="shared" si="0"/>
        <v>Medium</v>
      </c>
      <c r="I22" t="str">
        <f t="shared" si="1"/>
        <v>Experienced</v>
      </c>
    </row>
    <row r="23" spans="1:9">
      <c r="A23" s="2" t="s">
        <v>183</v>
      </c>
      <c r="B23" s="16" t="s">
        <v>238</v>
      </c>
      <c r="C23" s="2" t="s">
        <v>138</v>
      </c>
      <c r="D23" s="2" t="s">
        <v>154</v>
      </c>
      <c r="E23" s="14" t="s">
        <v>132</v>
      </c>
      <c r="F23" s="5">
        <v>147552</v>
      </c>
      <c r="G23" s="2">
        <v>1</v>
      </c>
      <c r="H23" t="str">
        <f t="shared" si="0"/>
        <v>High</v>
      </c>
      <c r="I23" t="str">
        <f t="shared" si="1"/>
        <v>Fresher</v>
      </c>
    </row>
    <row r="24" spans="1:9">
      <c r="A24" s="2" t="s">
        <v>185</v>
      </c>
      <c r="B24" s="16" t="s">
        <v>239</v>
      </c>
      <c r="C24" s="2" t="s">
        <v>130</v>
      </c>
      <c r="D24" s="2" t="s">
        <v>139</v>
      </c>
      <c r="E24" s="14" t="s">
        <v>182</v>
      </c>
      <c r="F24" s="5">
        <v>118165</v>
      </c>
      <c r="G24" s="2">
        <v>9</v>
      </c>
      <c r="H24" t="str">
        <f t="shared" si="0"/>
        <v>High</v>
      </c>
      <c r="I24" t="str">
        <f t="shared" si="1"/>
        <v>Experienced</v>
      </c>
    </row>
    <row r="25" spans="1:9">
      <c r="A25" s="2" t="s">
        <v>187</v>
      </c>
      <c r="B25" s="16" t="s">
        <v>240</v>
      </c>
      <c r="C25" s="2" t="s">
        <v>157</v>
      </c>
      <c r="D25" s="2" t="s">
        <v>154</v>
      </c>
      <c r="E25" s="14" t="s">
        <v>194</v>
      </c>
      <c r="F25" s="5">
        <v>59073</v>
      </c>
      <c r="G25" s="2">
        <v>2</v>
      </c>
      <c r="H25" t="str">
        <f t="shared" si="0"/>
        <v>Low</v>
      </c>
      <c r="I25" t="str">
        <f t="shared" si="1"/>
        <v>Fresher</v>
      </c>
    </row>
    <row r="26" spans="1:9">
      <c r="A26" s="2" t="s">
        <v>189</v>
      </c>
      <c r="B26" s="16" t="s">
        <v>241</v>
      </c>
      <c r="C26" s="2" t="s">
        <v>134</v>
      </c>
      <c r="D26" s="2" t="s">
        <v>135</v>
      </c>
      <c r="E26" s="14" t="s">
        <v>188</v>
      </c>
      <c r="F26" s="5">
        <v>63194</v>
      </c>
      <c r="G26" s="2">
        <v>8</v>
      </c>
      <c r="H26" t="str">
        <f t="shared" si="0"/>
        <v>Medium</v>
      </c>
      <c r="I26" t="str">
        <f t="shared" si="1"/>
        <v>Experienced</v>
      </c>
    </row>
    <row r="27" spans="1:9">
      <c r="A27" s="2" t="s">
        <v>191</v>
      </c>
      <c r="B27" s="16" t="s">
        <v>242</v>
      </c>
      <c r="C27" s="2" t="s">
        <v>157</v>
      </c>
      <c r="D27" s="2" t="s">
        <v>135</v>
      </c>
      <c r="E27" s="14" t="s">
        <v>196</v>
      </c>
      <c r="F27" s="5">
        <v>136228</v>
      </c>
      <c r="G27" s="2">
        <v>9</v>
      </c>
      <c r="H27" t="str">
        <f t="shared" si="0"/>
        <v>High</v>
      </c>
      <c r="I27" t="str">
        <f t="shared" si="1"/>
        <v>Experienced</v>
      </c>
    </row>
    <row r="28" spans="1:9">
      <c r="A28" s="2" t="s">
        <v>193</v>
      </c>
      <c r="B28" s="16" t="s">
        <v>243</v>
      </c>
      <c r="C28" s="2" t="s">
        <v>138</v>
      </c>
      <c r="D28" s="2" t="s">
        <v>135</v>
      </c>
      <c r="E28" s="14" t="s">
        <v>170</v>
      </c>
      <c r="F28" s="5">
        <v>99556</v>
      </c>
      <c r="G28" s="2">
        <v>4</v>
      </c>
      <c r="H28" t="str">
        <f t="shared" si="0"/>
        <v>Medium</v>
      </c>
      <c r="I28" t="str">
        <f t="shared" si="1"/>
        <v>Fresher</v>
      </c>
    </row>
    <row r="29" spans="1:9">
      <c r="A29" s="2" t="s">
        <v>195</v>
      </c>
      <c r="B29" s="16" t="s">
        <v>244</v>
      </c>
      <c r="C29" s="2" t="s">
        <v>153</v>
      </c>
      <c r="D29" s="2" t="s">
        <v>165</v>
      </c>
      <c r="E29" s="14" t="s">
        <v>161</v>
      </c>
      <c r="F29" s="5">
        <v>83418</v>
      </c>
      <c r="G29" s="2">
        <v>5</v>
      </c>
      <c r="H29" t="str">
        <f t="shared" si="0"/>
        <v>Medium</v>
      </c>
      <c r="I29" t="str">
        <f t="shared" si="1"/>
        <v>Experienced</v>
      </c>
    </row>
    <row r="30" spans="1:9">
      <c r="A30" s="2" t="s">
        <v>197</v>
      </c>
      <c r="B30" s="16" t="s">
        <v>245</v>
      </c>
      <c r="C30" s="2" t="s">
        <v>142</v>
      </c>
      <c r="D30" s="2" t="s">
        <v>154</v>
      </c>
      <c r="E30" s="14" t="s">
        <v>136</v>
      </c>
      <c r="F30" s="5">
        <v>139890</v>
      </c>
      <c r="G30" s="2">
        <v>6</v>
      </c>
      <c r="H30" t="str">
        <f t="shared" si="0"/>
        <v>High</v>
      </c>
      <c r="I30" t="str">
        <f t="shared" si="1"/>
        <v>Experienced</v>
      </c>
    </row>
    <row r="31" spans="1:9">
      <c r="A31" s="2" t="s">
        <v>199</v>
      </c>
      <c r="B31" s="16" t="s">
        <v>246</v>
      </c>
      <c r="C31" s="2" t="s">
        <v>153</v>
      </c>
      <c r="D31" s="2" t="s">
        <v>154</v>
      </c>
      <c r="E31" s="14" t="s">
        <v>186</v>
      </c>
      <c r="F31" s="5">
        <v>79009</v>
      </c>
      <c r="G31" s="2">
        <v>2</v>
      </c>
      <c r="H31" t="str">
        <f t="shared" si="0"/>
        <v>Medium</v>
      </c>
      <c r="I31" t="str">
        <f t="shared" si="1"/>
        <v>Fresher</v>
      </c>
    </row>
  </sheetData>
  <autoFilter ref="A1:I31"/>
  <conditionalFormatting sqref="I2:I31">
    <cfRule type="dataBar" priority="2">
      <dataBar>
        <cfvo type="min"/>
        <cfvo type="max"/>
        <color rgb="FF638EC6"/>
      </dataBar>
      <extLst>
        <ext xmlns:x14="http://schemas.microsoft.com/office/spreadsheetml/2009/9/main" uri="{B025F937-C7B1-47D3-B67F-A62EFF666E3E}">
          <x14:id>{88F65952-02F3-4FAA-A63C-0D322A80AF36}</x14:id>
        </ext>
      </extLst>
    </cfRule>
    <cfRule type="dataBar" priority="3">
      <dataBar>
        <cfvo type="formula" val="$I$2"/>
        <cfvo type="formula" val="$I$3"/>
        <color rgb="FF92D050"/>
      </dataBar>
      <extLst>
        <ext xmlns:x14="http://schemas.microsoft.com/office/spreadsheetml/2009/9/main" uri="{B025F937-C7B1-47D3-B67F-A62EFF666E3E}">
          <x14:id>{621F5219-843B-4ECB-AA34-DC63854FEC1E}</x14:id>
        </ext>
      </extLst>
    </cfRule>
  </conditionalFormatting>
  <conditionalFormatting sqref="G2:G31">
    <cfRule type="dataBar" priority="1">
      <dataBar>
        <cfvo type="num" val="0"/>
        <cfvo type="num" val="9"/>
        <color theme="6" tint="-0.249977111117893"/>
      </dataBar>
      <extLst>
        <ext xmlns:x14="http://schemas.microsoft.com/office/spreadsheetml/2009/9/main" uri="{B025F937-C7B1-47D3-B67F-A62EFF666E3E}">
          <x14:id>{7979BC87-8054-4266-A0CD-52DC2402BEBC}</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88F65952-02F3-4FAA-A63C-0D322A80AF36}">
            <x14:dataBar minLength="0" maxLength="100" gradient="0">
              <x14:cfvo type="autoMin"/>
              <x14:cfvo type="autoMax"/>
              <x14:negativeFillColor rgb="FFFF0000"/>
              <x14:axisColor rgb="FF000000"/>
            </x14:dataBar>
          </x14:cfRule>
          <x14:cfRule type="dataBar" id="{621F5219-843B-4ECB-AA34-DC63854FEC1E}">
            <x14:dataBar minLength="0" maxLength="100" gradient="0">
              <x14:cfvo type="formula">
                <xm:f>$I$2</xm:f>
              </x14:cfvo>
              <x14:cfvo type="formula">
                <xm:f>$I$3</xm:f>
              </x14:cfvo>
              <x14:negativeFillColor rgb="FFFF0000"/>
              <x14:axisColor rgb="FF000000"/>
            </x14:dataBar>
          </x14:cfRule>
          <xm:sqref>I2:I31</xm:sqref>
        </x14:conditionalFormatting>
        <x14:conditionalFormatting xmlns:xm="http://schemas.microsoft.com/office/excel/2006/main">
          <x14:cfRule type="dataBar" id="{7979BC87-8054-4266-A0CD-52DC2402BEBC}">
            <x14:dataBar minLength="0" maxLength="100" gradient="0">
              <x14:cfvo type="num">
                <xm:f>0</xm:f>
              </x14:cfvo>
              <x14:cfvo type="num">
                <xm:f>9</xm:f>
              </x14:cfvo>
              <x14:negativeFillColor rgb="FFFF0000"/>
              <x14:axisColor rgb="FF000000"/>
            </x14:dataBar>
          </x14:cfRule>
          <xm:sqref>G2:G31</xm:sqref>
        </x14:conditionalFormatting>
        <x14:conditionalFormatting xmlns:xm="http://schemas.microsoft.com/office/excel/2006/main">
          <x14:cfRule type="iconSet" priority="4" id="{B7A12434-30DD-4E88-8EA3-40E103437178}">
            <x14:iconSet iconSet="3Triangles">
              <x14:cfvo type="percent">
                <xm:f>0</xm:f>
              </x14:cfvo>
              <x14:cfvo type="num">
                <xm:f>60000</xm:f>
              </x14:cfvo>
              <x14:cfvo type="num">
                <xm:f>100000</xm:f>
              </x14:cfvo>
            </x14:iconSet>
          </x14:cfRule>
          <xm:sqref>F2:F31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C4" sqref="C4"/>
    </sheetView>
  </sheetViews>
  <sheetFormatPr defaultRowHeight="15"/>
  <cols>
    <col min="1" max="1" width="28.5703125" bestFit="1" customWidth="1"/>
  </cols>
  <sheetData>
    <row r="1" spans="1:2">
      <c r="A1" s="22" t="s">
        <v>202</v>
      </c>
      <c r="B1" s="23">
        <f>COUNTA('Sales data cleaning'!A2:A51)</f>
        <v>50</v>
      </c>
    </row>
    <row r="2" spans="1:2">
      <c r="A2" s="22" t="s">
        <v>203</v>
      </c>
      <c r="B2" s="23">
        <f>SUM('Sales data cleaning'!I2:I51)</f>
        <v>156018.44999999995</v>
      </c>
    </row>
    <row r="3" spans="1:2">
      <c r="A3" s="22"/>
      <c r="B3" s="23"/>
    </row>
    <row r="4" spans="1:2">
      <c r="A4" s="22" t="s">
        <v>204</v>
      </c>
      <c r="B4" s="23">
        <f>AVERAGE('Sales data cleaning'!E2:E51)</f>
        <v>11.92</v>
      </c>
    </row>
    <row r="5" spans="1:2">
      <c r="A5" s="22" t="s">
        <v>205</v>
      </c>
      <c r="B5" s="23">
        <f>COUNTA('Employee data cleaning'!A2:A31)</f>
        <v>30</v>
      </c>
    </row>
    <row r="6" spans="1:2">
      <c r="A6" s="22" t="s">
        <v>206</v>
      </c>
      <c r="B6" s="23">
        <f>AVERAGE('Employee data cleaning'!F2:F31)</f>
        <v>91968.233333333337</v>
      </c>
    </row>
    <row r="7" spans="1:2">
      <c r="A7" s="22" t="s">
        <v>209</v>
      </c>
      <c r="B7" s="23">
        <f>MAX('Employee data cleaning'!F2:F31)</f>
        <v>148862</v>
      </c>
    </row>
    <row r="8" spans="1:2">
      <c r="A8" s="22" t="s">
        <v>210</v>
      </c>
      <c r="B8" s="23">
        <f>MIN('Employee data cleaning'!F2:F31)</f>
        <v>42178</v>
      </c>
    </row>
    <row r="9" spans="1:2">
      <c r="A9" s="22" t="s">
        <v>211</v>
      </c>
      <c r="B9" s="23">
        <f>COUNTIF('Employee data cleaning'!H2:H31,"High")</f>
        <v>11</v>
      </c>
    </row>
    <row r="10" spans="1:2">
      <c r="A10" s="22" t="s">
        <v>212</v>
      </c>
      <c r="B10" s="23">
        <f>COUNTIF('Employee data cleaning'!H2:H31,"Low")</f>
        <v>7</v>
      </c>
    </row>
    <row r="11" spans="1:2">
      <c r="A11" s="22" t="s">
        <v>215</v>
      </c>
      <c r="B11" s="23">
        <f>COUNTIF('Employee data cleaning'!I2:I31,"experienced")</f>
        <v>17</v>
      </c>
    </row>
    <row r="12" spans="1:2">
      <c r="A12" s="22" t="s">
        <v>216</v>
      </c>
      <c r="B12" s="23">
        <f>COUNTIF('Employee data cleaning'!I2:I31,"Fresher")</f>
        <v>13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D16" sqref="D16"/>
    </sheetView>
  </sheetViews>
  <sheetFormatPr defaultRowHeight="15"/>
  <cols>
    <col min="1" max="1" width="16.85546875" bestFit="1" customWidth="1"/>
    <col min="2" max="2" width="15.5703125" style="18" bestFit="1" customWidth="1"/>
    <col min="3" max="3" width="8.42578125" bestFit="1" customWidth="1"/>
    <col min="4" max="5" width="6.28515625" bestFit="1" customWidth="1"/>
  </cols>
  <sheetData>
    <row r="1" spans="1:2">
      <c r="A1" s="15" t="s">
        <v>122</v>
      </c>
      <c r="B1" s="18" t="s">
        <v>133</v>
      </c>
    </row>
    <row r="2" spans="1:2">
      <c r="A2" s="15" t="s">
        <v>123</v>
      </c>
      <c r="B2" s="18" t="str">
        <f>VLOOKUP(B1,'Employee data cleaning'!$A$1:$I$31,2,FALSE)</f>
        <v>Madden Vaughn</v>
      </c>
    </row>
    <row r="3" spans="1:2">
      <c r="A3" s="15" t="s">
        <v>124</v>
      </c>
      <c r="B3" s="18" t="str">
        <f>VLOOKUP(B1,'Employee data cleaning'!$A$1:$I$31,3,FALSE)</f>
        <v>HR</v>
      </c>
    </row>
    <row r="4" spans="1:2">
      <c r="A4" s="15" t="s">
        <v>125</v>
      </c>
      <c r="B4" s="18" t="str">
        <f>VLOOKUP(B1,'Employee data cleaning'!$A$1:$I$31,4,FALSE)</f>
        <v>Developer</v>
      </c>
    </row>
    <row r="5" spans="1:2">
      <c r="A5" s="15" t="s">
        <v>127</v>
      </c>
      <c r="B5" s="18">
        <f>VLOOKUP(B1,'Employee data cleaning'!$A$1:$I$31,6,FALSE)</f>
        <v>91825</v>
      </c>
    </row>
    <row r="6" spans="1:2">
      <c r="A6" t="s">
        <v>213</v>
      </c>
      <c r="B6" s="18" t="str">
        <f>VLOOKUP(B1,'Employee data cleaning'!$A$1:$I$31,9,FALSE)</f>
        <v>Fresher</v>
      </c>
    </row>
    <row r="7" spans="1:2">
      <c r="A7" t="s">
        <v>214</v>
      </c>
      <c r="B7" s="18" t="str">
        <f>VLOOKUP(B1,'Employee data cleaning'!$A$1:$I$31,8,FALSE)</f>
        <v>Medium</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Y15"/>
  <sheetViews>
    <sheetView zoomScale="25" zoomScaleNormal="100" workbookViewId="0">
      <selection activeCell="Q19" sqref="Q19"/>
    </sheetView>
  </sheetViews>
  <sheetFormatPr defaultRowHeight="15"/>
  <cols>
    <col min="1" max="1" width="22.42578125" bestFit="1" customWidth="1"/>
    <col min="2" max="2" width="20.7109375" bestFit="1" customWidth="1"/>
    <col min="4" max="4" width="22.42578125" bestFit="1" customWidth="1"/>
    <col min="5" max="5" width="20.7109375" bestFit="1" customWidth="1"/>
    <col min="7" max="7" width="22.42578125" bestFit="1" customWidth="1"/>
    <col min="8" max="8" width="13.85546875" customWidth="1"/>
    <col min="10" max="10" width="14.28515625" customWidth="1"/>
    <col min="11" max="11" width="15.42578125" customWidth="1"/>
    <col min="12" max="12" width="17.7109375" customWidth="1"/>
    <col min="13" max="13" width="7.42578125" customWidth="1"/>
    <col min="14" max="14" width="14.28515625" customWidth="1"/>
    <col min="15" max="15" width="17.7109375" customWidth="1"/>
    <col min="16" max="16" width="22.42578125" customWidth="1"/>
    <col min="17" max="17" width="17.85546875" bestFit="1" customWidth="1"/>
    <col min="18" max="18" width="20.7109375" bestFit="1" customWidth="1"/>
    <col min="19" max="20" width="9.140625" customWidth="1"/>
    <col min="21" max="21" width="22.42578125" bestFit="1" customWidth="1"/>
    <col min="22" max="22" width="20.7109375" bestFit="1" customWidth="1"/>
    <col min="24" max="24" width="22.42578125" bestFit="1" customWidth="1"/>
    <col min="25" max="25" width="20.7109375" bestFit="1" customWidth="1"/>
  </cols>
  <sheetData>
    <row r="3" spans="1:25">
      <c r="A3" s="20" t="s">
        <v>251</v>
      </c>
      <c r="B3" t="s">
        <v>252</v>
      </c>
      <c r="D3" s="20" t="s">
        <v>251</v>
      </c>
      <c r="E3" t="s">
        <v>252</v>
      </c>
      <c r="G3" s="20" t="s">
        <v>251</v>
      </c>
      <c r="H3" t="s">
        <v>256</v>
      </c>
      <c r="J3" t="s">
        <v>258</v>
      </c>
      <c r="K3" t="s">
        <v>207</v>
      </c>
      <c r="P3" s="20" t="s">
        <v>251</v>
      </c>
      <c r="Q3" t="s">
        <v>257</v>
      </c>
      <c r="R3" t="s">
        <v>252</v>
      </c>
      <c r="S3" t="s">
        <v>259</v>
      </c>
      <c r="U3" s="20" t="s">
        <v>251</v>
      </c>
      <c r="V3" t="s">
        <v>252</v>
      </c>
      <c r="X3" s="20" t="s">
        <v>251</v>
      </c>
      <c r="Y3" t="s">
        <v>252</v>
      </c>
    </row>
    <row r="4" spans="1:25">
      <c r="A4" s="17">
        <v>10</v>
      </c>
      <c r="B4" s="11">
        <v>4251.55</v>
      </c>
      <c r="D4" s="17" t="s">
        <v>253</v>
      </c>
      <c r="E4" s="11">
        <v>19417.440000000002</v>
      </c>
      <c r="G4" s="21">
        <v>206.03</v>
      </c>
      <c r="H4" s="11">
        <v>2024</v>
      </c>
      <c r="J4" s="17" t="s">
        <v>253</v>
      </c>
      <c r="K4">
        <f>VLOOKUP(J4,D4:E6,2,0)</f>
        <v>19417.440000000002</v>
      </c>
      <c r="P4" s="17" t="s">
        <v>35</v>
      </c>
      <c r="Q4" s="11">
        <v>24</v>
      </c>
      <c r="R4" s="11">
        <v>812.52</v>
      </c>
      <c r="S4">
        <f>RANK(Q4,$Q$4:$Q$11,0)</f>
        <v>4</v>
      </c>
      <c r="U4" s="17" t="s">
        <v>43</v>
      </c>
      <c r="V4" s="11">
        <v>38640.31</v>
      </c>
      <c r="X4" s="17" t="s">
        <v>29</v>
      </c>
      <c r="Y4" s="11">
        <v>12293.51</v>
      </c>
    </row>
    <row r="5" spans="1:25">
      <c r="A5" s="17">
        <v>11</v>
      </c>
      <c r="B5" s="11">
        <v>6675.9</v>
      </c>
      <c r="D5" s="17" t="s">
        <v>254</v>
      </c>
      <c r="E5" s="11">
        <v>10622.51</v>
      </c>
      <c r="G5" s="21">
        <v>331.17</v>
      </c>
      <c r="H5" s="11">
        <v>2024</v>
      </c>
      <c r="J5" s="17" t="s">
        <v>254</v>
      </c>
      <c r="K5">
        <f t="shared" ref="K5:K6" si="0">VLOOKUP(J5,D5:E7,2,0)</f>
        <v>10622.51</v>
      </c>
      <c r="P5" s="17" t="s">
        <v>58</v>
      </c>
      <c r="Q5" s="11">
        <v>33</v>
      </c>
      <c r="R5" s="11">
        <v>8995.16</v>
      </c>
      <c r="S5">
        <f t="shared" ref="S5:S11" si="1">RANK(Q5,$Q$4:$Q$11,0)</f>
        <v>2</v>
      </c>
      <c r="X5" s="17" t="s">
        <v>14</v>
      </c>
      <c r="Y5" s="11">
        <v>16255.599999999999</v>
      </c>
    </row>
    <row r="6" spans="1:25">
      <c r="A6" s="17">
        <v>14</v>
      </c>
      <c r="B6" s="11">
        <v>2967.18</v>
      </c>
      <c r="D6" s="17" t="s">
        <v>255</v>
      </c>
      <c r="E6" s="11">
        <v>8600.36</v>
      </c>
      <c r="G6" s="21">
        <v>472.04</v>
      </c>
      <c r="H6" s="11">
        <v>2024</v>
      </c>
      <c r="J6" s="17" t="s">
        <v>255</v>
      </c>
      <c r="K6">
        <f t="shared" si="0"/>
        <v>8600.36</v>
      </c>
      <c r="P6" s="17" t="s">
        <v>11</v>
      </c>
      <c r="Q6" s="11">
        <v>48</v>
      </c>
      <c r="R6" s="11">
        <v>9609.85</v>
      </c>
      <c r="S6">
        <f t="shared" si="1"/>
        <v>1</v>
      </c>
      <c r="X6" s="17" t="s">
        <v>24</v>
      </c>
      <c r="Y6" s="11">
        <v>687.38</v>
      </c>
    </row>
    <row r="7" spans="1:25">
      <c r="A7" s="17">
        <v>15</v>
      </c>
      <c r="B7" s="11">
        <v>4077.36</v>
      </c>
      <c r="G7" s="21">
        <v>481.35</v>
      </c>
      <c r="H7" s="11">
        <v>2024</v>
      </c>
      <c r="P7" s="17" t="s">
        <v>26</v>
      </c>
      <c r="Q7" s="11">
        <v>28</v>
      </c>
      <c r="R7" s="11">
        <v>7781.8799999999992</v>
      </c>
      <c r="S7">
        <f t="shared" si="1"/>
        <v>3</v>
      </c>
      <c r="X7" s="17" t="s">
        <v>19</v>
      </c>
      <c r="Y7" s="11">
        <v>9403.82</v>
      </c>
    </row>
    <row r="8" spans="1:25">
      <c r="A8" s="17">
        <v>17</v>
      </c>
      <c r="B8" s="11">
        <v>5326.46</v>
      </c>
      <c r="G8" s="21">
        <v>2967.18</v>
      </c>
      <c r="H8" s="11">
        <v>2024</v>
      </c>
      <c r="P8" s="17" t="s">
        <v>69</v>
      </c>
      <c r="Q8" s="11">
        <v>17</v>
      </c>
      <c r="R8" s="11">
        <v>6675.9</v>
      </c>
      <c r="S8">
        <f t="shared" si="1"/>
        <v>5</v>
      </c>
    </row>
    <row r="9" spans="1:25">
      <c r="A9" s="17">
        <v>19</v>
      </c>
      <c r="B9" s="11">
        <v>803.21</v>
      </c>
      <c r="G9" s="21">
        <v>3770.2</v>
      </c>
      <c r="H9" s="11">
        <v>2024</v>
      </c>
      <c r="P9" s="17" t="s">
        <v>17</v>
      </c>
      <c r="Q9" s="11">
        <v>4</v>
      </c>
      <c r="R9" s="11">
        <v>472.04</v>
      </c>
      <c r="S9">
        <f t="shared" si="1"/>
        <v>7</v>
      </c>
    </row>
    <row r="10" spans="1:25">
      <c r="A10" s="17">
        <v>20</v>
      </c>
      <c r="B10" s="11">
        <v>4814.7</v>
      </c>
      <c r="G10" s="21">
        <v>4077.36</v>
      </c>
      <c r="H10" s="11">
        <v>2024</v>
      </c>
      <c r="P10" s="17" t="s">
        <v>31</v>
      </c>
      <c r="Q10" s="11">
        <v>16</v>
      </c>
      <c r="R10" s="11">
        <v>4292.96</v>
      </c>
      <c r="S10">
        <f t="shared" si="1"/>
        <v>6</v>
      </c>
    </row>
    <row r="11" spans="1:25">
      <c r="A11" s="17">
        <v>27</v>
      </c>
      <c r="B11" s="11">
        <v>5430.99</v>
      </c>
      <c r="G11" s="21">
        <v>4292.96</v>
      </c>
      <c r="H11" s="11">
        <v>2024</v>
      </c>
      <c r="S11" t="e">
        <f t="shared" si="1"/>
        <v>#N/A</v>
      </c>
    </row>
    <row r="12" spans="1:25">
      <c r="A12" s="17">
        <v>30</v>
      </c>
      <c r="B12" s="11">
        <v>4292.96</v>
      </c>
      <c r="G12" s="21">
        <v>4814.7</v>
      </c>
      <c r="H12" s="11">
        <v>2024</v>
      </c>
    </row>
    <row r="13" spans="1:25">
      <c r="G13" s="21">
        <v>5224.96</v>
      </c>
      <c r="H13" s="11">
        <v>2024</v>
      </c>
    </row>
    <row r="14" spans="1:25">
      <c r="G14" s="21">
        <v>5326.46</v>
      </c>
      <c r="H14" s="11">
        <v>2024</v>
      </c>
    </row>
    <row r="15" spans="1:25">
      <c r="G15" s="21">
        <v>6675.9</v>
      </c>
      <c r="H15" s="11">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Data</vt:lpstr>
      <vt:lpstr>Employee Data</vt:lpstr>
      <vt:lpstr>Summary</vt:lpstr>
      <vt:lpstr>Sales data cleaning</vt:lpstr>
      <vt:lpstr>Dashboard</vt:lpstr>
      <vt:lpstr>Employee data cleaning</vt:lpstr>
      <vt:lpstr>KPIs</vt:lpstr>
      <vt:lpstr>Vlookup Table</vt:lpstr>
      <vt:lpstr>Pivot Tables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2026-08-10T11:55:36Z</dcterms:created>
  <dcterms:modified xsi:type="dcterms:W3CDTF">2026-09-16T12:49:34Z</dcterms:modified>
  <dc:language>en-US</dc:language>
</cp:coreProperties>
</file>